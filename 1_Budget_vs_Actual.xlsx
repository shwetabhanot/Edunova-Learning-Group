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24226"/>
  <mc:AlternateContent xmlns:mc="http://schemas.openxmlformats.org/markup-compatibility/2006">
    <mc:Choice Requires="x15">
      <x15ac:absPath xmlns:x15ac="http://schemas.microsoft.com/office/spreadsheetml/2010/11/ac" url="C:\Users\Admin\Downloads\GitHub\Mid size compnay in education industry - FP&amp;A team\Charts\"/>
    </mc:Choice>
  </mc:AlternateContent>
  <xr:revisionPtr revIDLastSave="0" documentId="13_ncr:1_{A0AE5819-29C9-4726-8149-5B2A834B01CA}" xr6:coauthVersionLast="47" xr6:coauthVersionMax="47" xr10:uidLastSave="{00000000-0000-0000-0000-000000000000}"/>
  <bookViews>
    <workbookView xWindow="-120" yWindow="-120" windowWidth="29040" windowHeight="15720" xr2:uid="{00000000-000D-0000-FFFF-FFFF00000000}"/>
  </bookViews>
  <sheets>
    <sheet name="Dashboard " sheetId="2" r:id="rId1"/>
    <sheet name="raw_data" sheetId="1" r:id="rId2"/>
    <sheet name="Summary table " sheetId="4" r:id="rId3"/>
  </sheets>
  <definedNames>
    <definedName name="Slicer_Category">#N/A</definedName>
    <definedName name="Slicer_Department">#N/A</definedName>
    <definedName name="Slicer_Month">#N/A</definedName>
  </definedNames>
  <calcPr calcId="191029"/>
  <pivotCaches>
    <pivotCache cacheId="23"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4:slicerCache r:id="rId6"/>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 l="1"/>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alcChain>
</file>

<file path=xl/sharedStrings.xml><?xml version="1.0" encoding="utf-8"?>
<sst xmlns="http://schemas.openxmlformats.org/spreadsheetml/2006/main" count="569" uniqueCount="26">
  <si>
    <t>Month</t>
  </si>
  <si>
    <t>Department</t>
  </si>
  <si>
    <t>Category</t>
  </si>
  <si>
    <t>Budget</t>
  </si>
  <si>
    <t>Actual</t>
  </si>
  <si>
    <t>Jan</t>
  </si>
  <si>
    <t>Feb</t>
  </si>
  <si>
    <t>Mar</t>
  </si>
  <si>
    <t>Apr</t>
  </si>
  <si>
    <t>May</t>
  </si>
  <si>
    <t>Academic Delivery</t>
  </si>
  <si>
    <t>Marketing</t>
  </si>
  <si>
    <t>Facilities</t>
  </si>
  <si>
    <t>Student Services</t>
  </si>
  <si>
    <t>Salaries</t>
  </si>
  <si>
    <t>Advertising</t>
  </si>
  <si>
    <t>Maintenance</t>
  </si>
  <si>
    <t>IT Support</t>
  </si>
  <si>
    <t>Row Labels</t>
  </si>
  <si>
    <t>Grand Total</t>
  </si>
  <si>
    <t>Sum of Budget</t>
  </si>
  <si>
    <t>Sum of Actual</t>
  </si>
  <si>
    <t xml:space="preserve">Budget </t>
  </si>
  <si>
    <t>Actuals</t>
  </si>
  <si>
    <t>Variances</t>
  </si>
  <si>
    <t xml:space="preserve">Variance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</si>
</sst>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1" fillId="2" borderId="1" xfId="0" applyFont="1" applyFill="1" applyBorder="1" applyAlignment="1">
      <alignment horizontal="center" vertical="top"/>
    </xf>
  </cellXfs>
  <cellStyles count="1">
    <cellStyle name="Normal" xfId="0" builtinId="0"/>
  </cellStyles>
  <dxfs count="27">
    <dxf>
      <fill>
        <patternFill patternType="solid">
          <bgColor rgb="FFFFFF00"/>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bgColor rgb="FFFFFF00"/>
        </patternFill>
      </fill>
    </dxf>
    <dxf>
      <fill>
        <patternFill>
          <bgColor theme="8" tint="0.79998168889431442"/>
        </patternFill>
      </fill>
    </dxf>
    <dxf>
      <fill>
        <patternFill patternType="solid">
          <bgColor rgb="FFFFFF00"/>
        </patternFill>
      </fill>
    </dxf>
    <dxf>
      <fill>
        <patternFill>
          <bgColor theme="8" tint="0.79998168889431442"/>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numFmt numFmtId="0" formatCode="General"/>
    </dxf>
    <dxf>
      <border outline="0">
        <bottom style="thin">
          <color auto="1"/>
        </bottom>
      </border>
    </dxf>
    <dxf>
      <border outline="0">
        <top style="thin">
          <color auto="1"/>
        </top>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1" defaultTableStyle="TableStyleMedium9" defaultPivotStyle="PivotStyleLight16">
    <tableStyle name="Invisible" pivot="0" table="0" count="0" xr9:uid="{ED9F96F2-3BFE-4390-93F1-A7DFB89E5C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[1_Budget_vs_Actual.xlsx]Dashboard !Budget vs Actual by Department &amp;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Budget vs Actual by Department &amp; Category</a:t>
            </a:r>
            <a:endParaRPr lang="en-IN"/>
          </a:p>
        </c:rich>
      </c:tx>
      <c:layout>
        <c:manualLayout>
          <c:xMode val="edge"/>
          <c:yMode val="edge"/>
          <c:x val="0.33107890499194848"/>
          <c:y val="0.1041317799076020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230768255417347E-2"/>
          <c:y val="6.1899502381206874E-2"/>
          <c:w val="0.82785053317610657"/>
          <c:h val="0.78299877673661833"/>
        </c:manualLayout>
      </c:layout>
      <c:barChart>
        <c:barDir val="col"/>
        <c:grouping val="clustered"/>
        <c:varyColors val="0"/>
        <c:ser>
          <c:idx val="0"/>
          <c:order val="0"/>
          <c:tx>
            <c:strRef>
              <c:f>'Dashboard '!$B$4</c:f>
              <c:strCache>
                <c:ptCount val="1"/>
                <c:pt idx="0">
                  <c:v>Budget </c:v>
                </c:pt>
              </c:strCache>
            </c:strRef>
          </c:tx>
          <c:spPr>
            <a:solidFill>
              <a:schemeClr val="accent1"/>
            </a:solidFill>
            <a:ln>
              <a:noFill/>
            </a:ln>
            <a:effectLst/>
          </c:spPr>
          <c:invertIfNegative val="0"/>
          <c:cat>
            <c:multiLvlStrRef>
              <c:f>'Dashboard '!$A$5:$A$30</c:f>
              <c:multiLvlStrCache>
                <c:ptCount val="20"/>
                <c:lvl>
                  <c:pt idx="0">
                    <c:v>Advertising</c:v>
                  </c:pt>
                  <c:pt idx="1">
                    <c:v>IT Support</c:v>
                  </c:pt>
                  <c:pt idx="2">
                    <c:v>Maintenance</c:v>
                  </c:pt>
                  <c:pt idx="3">
                    <c:v>Salaries</c:v>
                  </c:pt>
                  <c:pt idx="4">
                    <c:v>Advertising</c:v>
                  </c:pt>
                  <c:pt idx="5">
                    <c:v>IT Support</c:v>
                  </c:pt>
                  <c:pt idx="6">
                    <c:v>Maintenance</c:v>
                  </c:pt>
                  <c:pt idx="7">
                    <c:v>Salaries</c:v>
                  </c:pt>
                  <c:pt idx="8">
                    <c:v>Advertising</c:v>
                  </c:pt>
                  <c:pt idx="9">
                    <c:v>IT Support</c:v>
                  </c:pt>
                  <c:pt idx="10">
                    <c:v>Maintenance</c:v>
                  </c:pt>
                  <c:pt idx="11">
                    <c:v>Salaries</c:v>
                  </c:pt>
                  <c:pt idx="12">
                    <c:v>Advertising</c:v>
                  </c:pt>
                  <c:pt idx="13">
                    <c:v>IT Support</c:v>
                  </c:pt>
                  <c:pt idx="14">
                    <c:v>Maintenance</c:v>
                  </c:pt>
                  <c:pt idx="15">
                    <c:v>Salaries</c:v>
                  </c:pt>
                  <c:pt idx="16">
                    <c:v>Advertising</c:v>
                  </c:pt>
                  <c:pt idx="17">
                    <c:v>IT Support</c:v>
                  </c:pt>
                  <c:pt idx="18">
                    <c:v>Maintenance</c:v>
                  </c:pt>
                  <c:pt idx="19">
                    <c:v>Salaries</c:v>
                  </c:pt>
                </c:lvl>
                <c:lvl>
                  <c:pt idx="0">
                    <c:v>Jan</c:v>
                  </c:pt>
                  <c:pt idx="4">
                    <c:v>Feb</c:v>
                  </c:pt>
                  <c:pt idx="8">
                    <c:v>Mar</c:v>
                  </c:pt>
                  <c:pt idx="12">
                    <c:v>Apr</c:v>
                  </c:pt>
                  <c:pt idx="16">
                    <c:v>May</c:v>
                  </c:pt>
                </c:lvl>
              </c:multiLvlStrCache>
            </c:multiLvlStrRef>
          </c:cat>
          <c:val>
            <c:numRef>
              <c:f>'Dashboard '!$B$5:$B$30</c:f>
              <c:numCache>
                <c:formatCode>General</c:formatCode>
                <c:ptCount val="20"/>
                <c:pt idx="0">
                  <c:v>34959</c:v>
                </c:pt>
                <c:pt idx="1">
                  <c:v>64745</c:v>
                </c:pt>
                <c:pt idx="2">
                  <c:v>45033</c:v>
                </c:pt>
                <c:pt idx="3">
                  <c:v>51316</c:v>
                </c:pt>
                <c:pt idx="4">
                  <c:v>54596</c:v>
                </c:pt>
                <c:pt idx="5">
                  <c:v>37640</c:v>
                </c:pt>
                <c:pt idx="6">
                  <c:v>45585</c:v>
                </c:pt>
                <c:pt idx="7">
                  <c:v>47852</c:v>
                </c:pt>
                <c:pt idx="8">
                  <c:v>60896</c:v>
                </c:pt>
                <c:pt idx="9">
                  <c:v>55310</c:v>
                </c:pt>
                <c:pt idx="10">
                  <c:v>50193</c:v>
                </c:pt>
                <c:pt idx="11">
                  <c:v>62682</c:v>
                </c:pt>
                <c:pt idx="12">
                  <c:v>44626</c:v>
                </c:pt>
                <c:pt idx="13">
                  <c:v>52097</c:v>
                </c:pt>
                <c:pt idx="14">
                  <c:v>59263</c:v>
                </c:pt>
                <c:pt idx="15">
                  <c:v>58600</c:v>
                </c:pt>
                <c:pt idx="16">
                  <c:v>50653</c:v>
                </c:pt>
                <c:pt idx="17">
                  <c:v>45773</c:v>
                </c:pt>
                <c:pt idx="18">
                  <c:v>53307</c:v>
                </c:pt>
                <c:pt idx="19">
                  <c:v>44259</c:v>
                </c:pt>
              </c:numCache>
            </c:numRef>
          </c:val>
          <c:extLst>
            <c:ext xmlns:c16="http://schemas.microsoft.com/office/drawing/2014/chart" uri="{C3380CC4-5D6E-409C-BE32-E72D297353CC}">
              <c16:uniqueId val="{00000000-7902-43CA-8157-3BF993647A7B}"/>
            </c:ext>
          </c:extLst>
        </c:ser>
        <c:ser>
          <c:idx val="1"/>
          <c:order val="1"/>
          <c:tx>
            <c:strRef>
              <c:f>'Dashboard '!$C$4</c:f>
              <c:strCache>
                <c:ptCount val="1"/>
                <c:pt idx="0">
                  <c:v>Actuals</c:v>
                </c:pt>
              </c:strCache>
            </c:strRef>
          </c:tx>
          <c:spPr>
            <a:solidFill>
              <a:schemeClr val="accent2"/>
            </a:solidFill>
            <a:ln>
              <a:noFill/>
            </a:ln>
            <a:effectLst/>
          </c:spPr>
          <c:invertIfNegative val="0"/>
          <c:cat>
            <c:multiLvlStrRef>
              <c:f>'Dashboard '!$A$5:$A$30</c:f>
              <c:multiLvlStrCache>
                <c:ptCount val="20"/>
                <c:lvl>
                  <c:pt idx="0">
                    <c:v>Advertising</c:v>
                  </c:pt>
                  <c:pt idx="1">
                    <c:v>IT Support</c:v>
                  </c:pt>
                  <c:pt idx="2">
                    <c:v>Maintenance</c:v>
                  </c:pt>
                  <c:pt idx="3">
                    <c:v>Salaries</c:v>
                  </c:pt>
                  <c:pt idx="4">
                    <c:v>Advertising</c:v>
                  </c:pt>
                  <c:pt idx="5">
                    <c:v>IT Support</c:v>
                  </c:pt>
                  <c:pt idx="6">
                    <c:v>Maintenance</c:v>
                  </c:pt>
                  <c:pt idx="7">
                    <c:v>Salaries</c:v>
                  </c:pt>
                  <c:pt idx="8">
                    <c:v>Advertising</c:v>
                  </c:pt>
                  <c:pt idx="9">
                    <c:v>IT Support</c:v>
                  </c:pt>
                  <c:pt idx="10">
                    <c:v>Maintenance</c:v>
                  </c:pt>
                  <c:pt idx="11">
                    <c:v>Salaries</c:v>
                  </c:pt>
                  <c:pt idx="12">
                    <c:v>Advertising</c:v>
                  </c:pt>
                  <c:pt idx="13">
                    <c:v>IT Support</c:v>
                  </c:pt>
                  <c:pt idx="14">
                    <c:v>Maintenance</c:v>
                  </c:pt>
                  <c:pt idx="15">
                    <c:v>Salaries</c:v>
                  </c:pt>
                  <c:pt idx="16">
                    <c:v>Advertising</c:v>
                  </c:pt>
                  <c:pt idx="17">
                    <c:v>IT Support</c:v>
                  </c:pt>
                  <c:pt idx="18">
                    <c:v>Maintenance</c:v>
                  </c:pt>
                  <c:pt idx="19">
                    <c:v>Salaries</c:v>
                  </c:pt>
                </c:lvl>
                <c:lvl>
                  <c:pt idx="0">
                    <c:v>Jan</c:v>
                  </c:pt>
                  <c:pt idx="4">
                    <c:v>Feb</c:v>
                  </c:pt>
                  <c:pt idx="8">
                    <c:v>Mar</c:v>
                  </c:pt>
                  <c:pt idx="12">
                    <c:v>Apr</c:v>
                  </c:pt>
                  <c:pt idx="16">
                    <c:v>May</c:v>
                  </c:pt>
                </c:lvl>
              </c:multiLvlStrCache>
            </c:multiLvlStrRef>
          </c:cat>
          <c:val>
            <c:numRef>
              <c:f>'Dashboard '!$C$5:$C$30</c:f>
              <c:numCache>
                <c:formatCode>General</c:formatCode>
                <c:ptCount val="20"/>
                <c:pt idx="0">
                  <c:v>32131</c:v>
                </c:pt>
                <c:pt idx="1">
                  <c:v>70151</c:v>
                </c:pt>
                <c:pt idx="2">
                  <c:v>43185</c:v>
                </c:pt>
                <c:pt idx="3">
                  <c:v>54344</c:v>
                </c:pt>
                <c:pt idx="4">
                  <c:v>53956</c:v>
                </c:pt>
                <c:pt idx="5">
                  <c:v>42651</c:v>
                </c:pt>
                <c:pt idx="6">
                  <c:v>44493</c:v>
                </c:pt>
                <c:pt idx="7">
                  <c:v>49666</c:v>
                </c:pt>
                <c:pt idx="8">
                  <c:v>62626</c:v>
                </c:pt>
                <c:pt idx="9">
                  <c:v>52177</c:v>
                </c:pt>
                <c:pt idx="10">
                  <c:v>50539</c:v>
                </c:pt>
                <c:pt idx="11">
                  <c:v>62078</c:v>
                </c:pt>
                <c:pt idx="12">
                  <c:v>46415</c:v>
                </c:pt>
                <c:pt idx="13">
                  <c:v>53775</c:v>
                </c:pt>
                <c:pt idx="14">
                  <c:v>54903</c:v>
                </c:pt>
                <c:pt idx="15">
                  <c:v>61581</c:v>
                </c:pt>
                <c:pt idx="16">
                  <c:v>50293</c:v>
                </c:pt>
                <c:pt idx="17">
                  <c:v>45500</c:v>
                </c:pt>
                <c:pt idx="18">
                  <c:v>53737</c:v>
                </c:pt>
                <c:pt idx="19">
                  <c:v>46355</c:v>
                </c:pt>
              </c:numCache>
            </c:numRef>
          </c:val>
          <c:extLst>
            <c:ext xmlns:c16="http://schemas.microsoft.com/office/drawing/2014/chart" uri="{C3380CC4-5D6E-409C-BE32-E72D297353CC}">
              <c16:uniqueId val="{00000001-7902-43CA-8157-3BF993647A7B}"/>
            </c:ext>
          </c:extLst>
        </c:ser>
        <c:ser>
          <c:idx val="2"/>
          <c:order val="2"/>
          <c:tx>
            <c:strRef>
              <c:f>'Dashboard '!$D$4</c:f>
              <c:strCache>
                <c:ptCount val="1"/>
                <c:pt idx="0">
                  <c:v>Variances</c:v>
                </c:pt>
              </c:strCache>
            </c:strRef>
          </c:tx>
          <c:spPr>
            <a:solidFill>
              <a:schemeClr val="accent3"/>
            </a:solidFill>
            <a:ln>
              <a:noFill/>
            </a:ln>
            <a:effectLst/>
          </c:spPr>
          <c:invertIfNegative val="0"/>
          <c:cat>
            <c:multiLvlStrRef>
              <c:f>'Dashboard '!$A$5:$A$30</c:f>
              <c:multiLvlStrCache>
                <c:ptCount val="20"/>
                <c:lvl>
                  <c:pt idx="0">
                    <c:v>Advertising</c:v>
                  </c:pt>
                  <c:pt idx="1">
                    <c:v>IT Support</c:v>
                  </c:pt>
                  <c:pt idx="2">
                    <c:v>Maintenance</c:v>
                  </c:pt>
                  <c:pt idx="3">
                    <c:v>Salaries</c:v>
                  </c:pt>
                  <c:pt idx="4">
                    <c:v>Advertising</c:v>
                  </c:pt>
                  <c:pt idx="5">
                    <c:v>IT Support</c:v>
                  </c:pt>
                  <c:pt idx="6">
                    <c:v>Maintenance</c:v>
                  </c:pt>
                  <c:pt idx="7">
                    <c:v>Salaries</c:v>
                  </c:pt>
                  <c:pt idx="8">
                    <c:v>Advertising</c:v>
                  </c:pt>
                  <c:pt idx="9">
                    <c:v>IT Support</c:v>
                  </c:pt>
                  <c:pt idx="10">
                    <c:v>Maintenance</c:v>
                  </c:pt>
                  <c:pt idx="11">
                    <c:v>Salaries</c:v>
                  </c:pt>
                  <c:pt idx="12">
                    <c:v>Advertising</c:v>
                  </c:pt>
                  <c:pt idx="13">
                    <c:v>IT Support</c:v>
                  </c:pt>
                  <c:pt idx="14">
                    <c:v>Maintenance</c:v>
                  </c:pt>
                  <c:pt idx="15">
                    <c:v>Salaries</c:v>
                  </c:pt>
                  <c:pt idx="16">
                    <c:v>Advertising</c:v>
                  </c:pt>
                  <c:pt idx="17">
                    <c:v>IT Support</c:v>
                  </c:pt>
                  <c:pt idx="18">
                    <c:v>Maintenance</c:v>
                  </c:pt>
                  <c:pt idx="19">
                    <c:v>Salaries</c:v>
                  </c:pt>
                </c:lvl>
                <c:lvl>
                  <c:pt idx="0">
                    <c:v>Jan</c:v>
                  </c:pt>
                  <c:pt idx="4">
                    <c:v>Feb</c:v>
                  </c:pt>
                  <c:pt idx="8">
                    <c:v>Mar</c:v>
                  </c:pt>
                  <c:pt idx="12">
                    <c:v>Apr</c:v>
                  </c:pt>
                  <c:pt idx="16">
                    <c:v>May</c:v>
                  </c:pt>
                </c:lvl>
              </c:multiLvlStrCache>
            </c:multiLvlStrRef>
          </c:cat>
          <c:val>
            <c:numRef>
              <c:f>'Dashboard '!$D$5:$D$30</c:f>
              <c:numCache>
                <c:formatCode>General</c:formatCode>
                <c:ptCount val="20"/>
                <c:pt idx="0">
                  <c:v>2828</c:v>
                </c:pt>
                <c:pt idx="1">
                  <c:v>-5406</c:v>
                </c:pt>
                <c:pt idx="2">
                  <c:v>1848</c:v>
                </c:pt>
                <c:pt idx="3">
                  <c:v>-3028</c:v>
                </c:pt>
                <c:pt idx="4">
                  <c:v>640</c:v>
                </c:pt>
                <c:pt idx="5">
                  <c:v>-5011</c:v>
                </c:pt>
                <c:pt idx="6">
                  <c:v>1092</c:v>
                </c:pt>
                <c:pt idx="7">
                  <c:v>-1814</c:v>
                </c:pt>
                <c:pt idx="8">
                  <c:v>-1730</c:v>
                </c:pt>
                <c:pt idx="9">
                  <c:v>3133</c:v>
                </c:pt>
                <c:pt idx="10">
                  <c:v>-346</c:v>
                </c:pt>
                <c:pt idx="11">
                  <c:v>604</c:v>
                </c:pt>
                <c:pt idx="12">
                  <c:v>-1789</c:v>
                </c:pt>
                <c:pt idx="13">
                  <c:v>-1678</c:v>
                </c:pt>
                <c:pt idx="14">
                  <c:v>4360</c:v>
                </c:pt>
                <c:pt idx="15">
                  <c:v>-2981</c:v>
                </c:pt>
                <c:pt idx="16">
                  <c:v>360</c:v>
                </c:pt>
                <c:pt idx="17">
                  <c:v>273</c:v>
                </c:pt>
                <c:pt idx="18">
                  <c:v>-430</c:v>
                </c:pt>
                <c:pt idx="19">
                  <c:v>-2096</c:v>
                </c:pt>
              </c:numCache>
            </c:numRef>
          </c:val>
          <c:extLst>
            <c:ext xmlns:c16="http://schemas.microsoft.com/office/drawing/2014/chart" uri="{C3380CC4-5D6E-409C-BE32-E72D297353CC}">
              <c16:uniqueId val="{00000004-7902-43CA-8157-3BF993647A7B}"/>
            </c:ext>
          </c:extLst>
        </c:ser>
        <c:dLbls>
          <c:showLegendKey val="0"/>
          <c:showVal val="0"/>
          <c:showCatName val="0"/>
          <c:showSerName val="0"/>
          <c:showPercent val="0"/>
          <c:showBubbleSize val="0"/>
        </c:dLbls>
        <c:gapWidth val="219"/>
        <c:axId val="1049634032"/>
        <c:axId val="1049644112"/>
      </c:barChart>
      <c:catAx>
        <c:axId val="10496340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049644112"/>
        <c:crosses val="autoZero"/>
        <c:auto val="1"/>
        <c:lblAlgn val="ctr"/>
        <c:lblOffset val="100"/>
        <c:noMultiLvlLbl val="0"/>
      </c:catAx>
      <c:valAx>
        <c:axId val="1049644112"/>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amoun</a:t>
                </a:r>
                <a:r>
                  <a:rPr lang="en-IN" baseline="0"/>
                  <a:t>t ($)</a:t>
                </a:r>
                <a:endParaRPr lang="en-IN"/>
              </a:p>
            </c:rich>
          </c:tx>
          <c:layout>
            <c:manualLayout>
              <c:xMode val="edge"/>
              <c:yMode val="edge"/>
              <c:x val="0.94288855921995263"/>
              <c:y val="0.342418419417029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634032"/>
        <c:crosses val="max"/>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[1_Budget_vs_Actual.xlsx]Dashboard !PivotTable5</c:name>
    <c:fmtId val="1"/>
  </c:pivotSource>
  <c:chart>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'!$B$39</c:f>
              <c:strCache>
                <c:ptCount val="1"/>
                <c:pt idx="0">
                  <c:v>Sum of Budget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'Dashboard '!$A$40:$A$45</c:f>
              <c:strCache>
                <c:ptCount val="5"/>
                <c:pt idx="0">
                  <c:v>Jan</c:v>
                </c:pt>
                <c:pt idx="1">
                  <c:v>Feb</c:v>
                </c:pt>
                <c:pt idx="2">
                  <c:v>Mar</c:v>
                </c:pt>
                <c:pt idx="3">
                  <c:v>Apr</c:v>
                </c:pt>
                <c:pt idx="4">
                  <c:v>May</c:v>
                </c:pt>
              </c:strCache>
            </c:strRef>
          </c:cat>
          <c:val>
            <c:numRef>
              <c:f>'Dashboard '!$B$40:$B$45</c:f>
              <c:numCache>
                <c:formatCode>General</c:formatCode>
                <c:ptCount val="5"/>
                <c:pt idx="0">
                  <c:v>196053</c:v>
                </c:pt>
                <c:pt idx="1">
                  <c:v>185673</c:v>
                </c:pt>
                <c:pt idx="2">
                  <c:v>229081</c:v>
                </c:pt>
                <c:pt idx="3">
                  <c:v>214586</c:v>
                </c:pt>
                <c:pt idx="4">
                  <c:v>193992</c:v>
                </c:pt>
              </c:numCache>
            </c:numRef>
          </c:val>
          <c:smooth val="0"/>
          <c:extLst>
            <c:ext xmlns:c16="http://schemas.microsoft.com/office/drawing/2014/chart" uri="{C3380CC4-5D6E-409C-BE32-E72D297353CC}">
              <c16:uniqueId val="{00000000-A95F-4377-97E6-BB573DCCF451}"/>
            </c:ext>
          </c:extLst>
        </c:ser>
        <c:dLbls>
          <c:showLegendKey val="0"/>
          <c:showVal val="0"/>
          <c:showCatName val="0"/>
          <c:showSerName val="0"/>
          <c:showPercent val="0"/>
          <c:showBubbleSize val="0"/>
        </c:dLbls>
        <c:marker val="1"/>
        <c:smooth val="0"/>
        <c:axId val="1021464624"/>
        <c:axId val="1021459824"/>
      </c:lineChart>
      <c:lineChart>
        <c:grouping val="standard"/>
        <c:varyColors val="0"/>
        <c:ser>
          <c:idx val="1"/>
          <c:order val="1"/>
          <c:tx>
            <c:strRef>
              <c:f>'Dashboard '!$C$39</c:f>
              <c:strCache>
                <c:ptCount val="1"/>
                <c:pt idx="0">
                  <c:v>Sum of Actual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'Dashboard '!$A$40:$A$45</c:f>
              <c:strCache>
                <c:ptCount val="5"/>
                <c:pt idx="0">
                  <c:v>Jan</c:v>
                </c:pt>
                <c:pt idx="1">
                  <c:v>Feb</c:v>
                </c:pt>
                <c:pt idx="2">
                  <c:v>Mar</c:v>
                </c:pt>
                <c:pt idx="3">
                  <c:v>Apr</c:v>
                </c:pt>
                <c:pt idx="4">
                  <c:v>May</c:v>
                </c:pt>
              </c:strCache>
            </c:strRef>
          </c:cat>
          <c:val>
            <c:numRef>
              <c:f>'Dashboard '!$C$40:$C$45</c:f>
              <c:numCache>
                <c:formatCode>General</c:formatCode>
                <c:ptCount val="5"/>
                <c:pt idx="0">
                  <c:v>199811</c:v>
                </c:pt>
                <c:pt idx="1">
                  <c:v>190766</c:v>
                </c:pt>
                <c:pt idx="2">
                  <c:v>227420</c:v>
                </c:pt>
                <c:pt idx="3">
                  <c:v>216674</c:v>
                </c:pt>
                <c:pt idx="4">
                  <c:v>195885</c:v>
                </c:pt>
              </c:numCache>
            </c:numRef>
          </c:val>
          <c:smooth val="0"/>
          <c:extLst>
            <c:ext xmlns:c16="http://schemas.microsoft.com/office/drawing/2014/chart" uri="{C3380CC4-5D6E-409C-BE32-E72D297353CC}">
              <c16:uniqueId val="{00000001-A95F-4377-97E6-BB573DCCF451}"/>
            </c:ext>
          </c:extLst>
        </c:ser>
        <c:dLbls>
          <c:showLegendKey val="0"/>
          <c:showVal val="0"/>
          <c:showCatName val="0"/>
          <c:showSerName val="0"/>
          <c:showPercent val="0"/>
          <c:showBubbleSize val="0"/>
        </c:dLbls>
        <c:marker val="1"/>
        <c:smooth val="0"/>
        <c:axId val="1172962240"/>
        <c:axId val="1172950720"/>
      </c:lineChart>
      <c:catAx>
        <c:axId val="1021464624"/>
        <c:scaling>
          <c:orientation val="minMax"/>
        </c:scaling>
        <c:delete val="0"/>
        <c:axPos val="t"/>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1459824"/>
        <c:crosses val="max"/>
        <c:auto val="1"/>
        <c:lblAlgn val="ctr"/>
        <c:lblOffset val="100"/>
        <c:noMultiLvlLbl val="0"/>
      </c:catAx>
      <c:valAx>
        <c:axId val="1021459824"/>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crossAx val="1021464624"/>
        <c:crosses val="autoZero"/>
        <c:crossBetween val="between"/>
        <c:majorUnit val="500"/>
        <c:dispUnits>
          <c:builtInUnit val="hundreds"/>
          <c:dispUnitsLbl>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valAx>
        <c:axId val="117295072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2962240"/>
        <c:crosses val="max"/>
        <c:crossBetween val="between"/>
      </c:valAx>
      <c:catAx>
        <c:axId val="1172962240"/>
        <c:scaling>
          <c:orientation val="minMax"/>
        </c:scaling>
        <c:delete val="1"/>
        <c:axPos val="b"/>
        <c:numFmt formatCode="General" sourceLinked="1"/>
        <c:majorTickMark val="out"/>
        <c:minorTickMark val="none"/>
        <c:tickLblPos val="nextTo"/>
        <c:crossAx val="117295072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457199</xdr:colOff>
      <xdr:row>1</xdr:row>
      <xdr:rowOff>171449</xdr:rowOff>
    </xdr:from>
    <xdr:to>
      <xdr:col>16</xdr:col>
      <xdr:colOff>476249</xdr:colOff>
      <xdr:row>35</xdr:row>
      <xdr:rowOff>9524</xdr:rowOff>
    </xdr:to>
    <xdr:graphicFrame macro="">
      <xdr:nvGraphicFramePr>
        <xdr:cNvPr id="3" name="Budget vs Actual by Department &amp; Category">
          <a:extLst>
            <a:ext uri="{FF2B5EF4-FFF2-40B4-BE49-F238E27FC236}">
              <a16:creationId xmlns:a16="http://schemas.microsoft.com/office/drawing/2014/main" id="{356591CA-0F0E-2D24-8601-899DFE3A1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504824</xdr:colOff>
      <xdr:row>37</xdr:row>
      <xdr:rowOff>166686</xdr:rowOff>
    </xdr:from>
    <xdr:to>
      <xdr:col>14</xdr:col>
      <xdr:colOff>809624</xdr:colOff>
      <xdr:row>56</xdr:row>
      <xdr:rowOff>38099</xdr:rowOff>
    </xdr:to>
    <xdr:graphicFrame macro="">
      <xdr:nvGraphicFramePr>
        <xdr:cNvPr id="4" name="Chart 3">
          <a:extLst>
            <a:ext uri="{FF2B5EF4-FFF2-40B4-BE49-F238E27FC236}">
              <a16:creationId xmlns:a16="http://schemas.microsoft.com/office/drawing/2014/main" id="{4C747DBA-C69E-C477-441E-2D9798EE37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257175</xdr:colOff>
      <xdr:row>0</xdr:row>
      <xdr:rowOff>9525</xdr:rowOff>
    </xdr:from>
    <xdr:to>
      <xdr:col>13</xdr:col>
      <xdr:colOff>257175</xdr:colOff>
      <xdr:row>19</xdr:row>
      <xdr:rowOff>114300</xdr:rowOff>
    </xdr:to>
    <mc:AlternateContent xmlns:mc="http://schemas.openxmlformats.org/markup-compatibility/2006">
      <mc:Choice xmlns:sle15="http://schemas.microsoft.com/office/drawing/2012/slicer" Requires="sle15">
        <xdr:graphicFrame macro="">
          <xdr:nvGraphicFramePr>
            <xdr:cNvPr id="2" name="Department">
              <a:extLst>
                <a:ext uri="{FF2B5EF4-FFF2-40B4-BE49-F238E27FC236}">
                  <a16:creationId xmlns:a16="http://schemas.microsoft.com/office/drawing/2014/main" id="{A338CE0B-8632-B642-37DF-A2BE8E0A5F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143750" y="9525"/>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133350</xdr:colOff>
      <xdr:row>0</xdr:row>
      <xdr:rowOff>28576</xdr:rowOff>
    </xdr:from>
    <xdr:to>
      <xdr:col>10</xdr:col>
      <xdr:colOff>133350</xdr:colOff>
      <xdr:row>19</xdr:row>
      <xdr:rowOff>123826</xdr:rowOff>
    </xdr:to>
    <mc:AlternateContent xmlns:mc="http://schemas.openxmlformats.org/markup-compatibility/2006">
      <mc:Choice xmlns:sle15="http://schemas.microsoft.com/office/drawing/2012/slicer" Requires="sle15">
        <xdr:graphicFrame macro="">
          <xdr:nvGraphicFramePr>
            <xdr:cNvPr id="3" name="Category">
              <a:extLst>
                <a:ext uri="{FF2B5EF4-FFF2-40B4-BE49-F238E27FC236}">
                  <a16:creationId xmlns:a16="http://schemas.microsoft.com/office/drawing/2014/main" id="{CD6AD639-6A99-53B0-8C0E-865EEDA82A4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91125" y="28576"/>
              <a:ext cx="1828800" cy="14287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400050</xdr:colOff>
      <xdr:row>0</xdr:row>
      <xdr:rowOff>0</xdr:rowOff>
    </xdr:from>
    <xdr:to>
      <xdr:col>16</xdr:col>
      <xdr:colOff>400050</xdr:colOff>
      <xdr:row>20</xdr:row>
      <xdr:rowOff>85725</xdr:rowOff>
    </xdr:to>
    <mc:AlternateContent xmlns:mc="http://schemas.openxmlformats.org/markup-compatibility/2006">
      <mc:Choice xmlns:sle15="http://schemas.microsoft.com/office/drawing/2012/slicer" Requires="sle15">
        <xdr:graphicFrame macro="">
          <xdr:nvGraphicFramePr>
            <xdr:cNvPr id="4" name="Month">
              <a:extLst>
                <a:ext uri="{FF2B5EF4-FFF2-40B4-BE49-F238E27FC236}">
                  <a16:creationId xmlns:a16="http://schemas.microsoft.com/office/drawing/2014/main" id="{B0ABFAE5-DFDA-AB87-1D6F-D0EE32C912F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115425" y="0"/>
              <a:ext cx="1828800" cy="160972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792.834442939813" createdVersion="8" refreshedVersion="8" minRefreshableVersion="3" recordCount="80" xr:uid="{1DCB1401-5EE1-490A-91B9-913EEEDDEEF7}">
  <cacheSource type="worksheet">
    <worksheetSource name="Table1"/>
  </cacheSource>
  <cacheFields count="6">
    <cacheField name="Month" numFmtId="0">
      <sharedItems count="5">
        <s v="Jan"/>
        <s v="Feb"/>
        <s v="Mar"/>
        <s v="Apr"/>
        <s v="May"/>
      </sharedItems>
    </cacheField>
    <cacheField name="Department" numFmtId="0">
      <sharedItems count="4">
        <s v="Academic Delivery"/>
        <s v="Marketing"/>
        <s v="Facilities"/>
        <s v="Student Services"/>
      </sharedItems>
    </cacheField>
    <cacheField name="Category" numFmtId="0">
      <sharedItems count="4">
        <s v="Salaries"/>
        <s v="Advertising"/>
        <s v="Maintenance"/>
        <s v="IT Support"/>
      </sharedItems>
    </cacheField>
    <cacheField name="Budget" numFmtId="0">
      <sharedItems containsSemiMixedTypes="0" containsString="0" containsNumber="1" containsInteger="1" minValue="5064" maxValue="19624"/>
    </cacheField>
    <cacheField name="Actual" numFmtId="0">
      <sharedItems containsSemiMixedTypes="0" containsString="0" containsNumber="1" containsInteger="1" minValue="3362" maxValue="21539"/>
    </cacheField>
    <cacheField name="Variance " numFmtId="0" formula="Budget -Actual"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x v="0"/>
    <x v="0"/>
    <n v="12270"/>
    <n v="13777"/>
  </r>
  <r>
    <x v="0"/>
    <x v="0"/>
    <x v="1"/>
    <n v="5860"/>
    <n v="5154"/>
  </r>
  <r>
    <x v="0"/>
    <x v="0"/>
    <x v="2"/>
    <n v="18418"/>
    <n v="17513"/>
  </r>
  <r>
    <x v="0"/>
    <x v="0"/>
    <x v="3"/>
    <n v="16964"/>
    <n v="18056"/>
  </r>
  <r>
    <x v="0"/>
    <x v="1"/>
    <x v="0"/>
    <n v="10734"/>
    <n v="10903"/>
  </r>
  <r>
    <x v="0"/>
    <x v="1"/>
    <x v="1"/>
    <n v="5466"/>
    <n v="4704"/>
  </r>
  <r>
    <x v="0"/>
    <x v="1"/>
    <x v="2"/>
    <n v="9426"/>
    <n v="8908"/>
  </r>
  <r>
    <x v="0"/>
    <x v="1"/>
    <x v="3"/>
    <n v="19423"/>
    <n v="20867"/>
  </r>
  <r>
    <x v="0"/>
    <x v="2"/>
    <x v="0"/>
    <n v="16363"/>
    <n v="17282"/>
  </r>
  <r>
    <x v="0"/>
    <x v="2"/>
    <x v="1"/>
    <n v="13322"/>
    <n v="13007"/>
  </r>
  <r>
    <x v="0"/>
    <x v="2"/>
    <x v="2"/>
    <n v="5769"/>
    <n v="6160"/>
  </r>
  <r>
    <x v="0"/>
    <x v="2"/>
    <x v="3"/>
    <n v="18803"/>
    <n v="20288"/>
  </r>
  <r>
    <x v="0"/>
    <x v="3"/>
    <x v="0"/>
    <n v="11949"/>
    <n v="12382"/>
  </r>
  <r>
    <x v="0"/>
    <x v="3"/>
    <x v="1"/>
    <n v="10311"/>
    <n v="9266"/>
  </r>
  <r>
    <x v="0"/>
    <x v="3"/>
    <x v="2"/>
    <n v="11420"/>
    <n v="10604"/>
  </r>
  <r>
    <x v="0"/>
    <x v="3"/>
    <x v="3"/>
    <n v="9555"/>
    <n v="10940"/>
  </r>
  <r>
    <x v="1"/>
    <x v="0"/>
    <x v="0"/>
    <n v="17309"/>
    <n v="17609"/>
  </r>
  <r>
    <x v="1"/>
    <x v="0"/>
    <x v="1"/>
    <n v="18035"/>
    <n v="18939"/>
  </r>
  <r>
    <x v="1"/>
    <x v="0"/>
    <x v="2"/>
    <n v="13666"/>
    <n v="12748"/>
  </r>
  <r>
    <x v="1"/>
    <x v="0"/>
    <x v="3"/>
    <n v="7558"/>
    <n v="9311"/>
  </r>
  <r>
    <x v="1"/>
    <x v="1"/>
    <x v="0"/>
    <n v="7047"/>
    <n v="8594"/>
  </r>
  <r>
    <x v="1"/>
    <x v="1"/>
    <x v="1"/>
    <n v="7747"/>
    <n v="6722"/>
  </r>
  <r>
    <x v="1"/>
    <x v="1"/>
    <x v="2"/>
    <n v="14998"/>
    <n v="13187"/>
  </r>
  <r>
    <x v="1"/>
    <x v="1"/>
    <x v="3"/>
    <n v="7734"/>
    <n v="8739"/>
  </r>
  <r>
    <x v="1"/>
    <x v="2"/>
    <x v="0"/>
    <n v="9658"/>
    <n v="9557"/>
  </r>
  <r>
    <x v="1"/>
    <x v="2"/>
    <x v="1"/>
    <n v="12734"/>
    <n v="12001"/>
  </r>
  <r>
    <x v="1"/>
    <x v="2"/>
    <x v="2"/>
    <n v="6528"/>
    <n v="7730"/>
  </r>
  <r>
    <x v="1"/>
    <x v="2"/>
    <x v="3"/>
    <n v="8556"/>
    <n v="10446"/>
  </r>
  <r>
    <x v="1"/>
    <x v="3"/>
    <x v="0"/>
    <n v="13838"/>
    <n v="13906"/>
  </r>
  <r>
    <x v="1"/>
    <x v="3"/>
    <x v="1"/>
    <n v="16080"/>
    <n v="16294"/>
  </r>
  <r>
    <x v="1"/>
    <x v="3"/>
    <x v="2"/>
    <n v="10393"/>
    <n v="10828"/>
  </r>
  <r>
    <x v="1"/>
    <x v="3"/>
    <x v="3"/>
    <n v="13792"/>
    <n v="14155"/>
  </r>
  <r>
    <x v="2"/>
    <x v="0"/>
    <x v="0"/>
    <n v="15253"/>
    <n v="13494"/>
  </r>
  <r>
    <x v="2"/>
    <x v="0"/>
    <x v="1"/>
    <n v="15233"/>
    <n v="16057"/>
  </r>
  <r>
    <x v="2"/>
    <x v="0"/>
    <x v="2"/>
    <n v="12513"/>
    <n v="13125"/>
  </r>
  <r>
    <x v="2"/>
    <x v="0"/>
    <x v="3"/>
    <n v="12041"/>
    <n v="11404"/>
  </r>
  <r>
    <x v="2"/>
    <x v="1"/>
    <x v="0"/>
    <n v="11235"/>
    <n v="10625"/>
  </r>
  <r>
    <x v="2"/>
    <x v="1"/>
    <x v="1"/>
    <n v="12099"/>
    <n v="11577"/>
  </r>
  <r>
    <x v="2"/>
    <x v="1"/>
    <x v="2"/>
    <n v="15748"/>
    <n v="14523"/>
  </r>
  <r>
    <x v="2"/>
    <x v="1"/>
    <x v="3"/>
    <n v="17206"/>
    <n v="15240"/>
  </r>
  <r>
    <x v="2"/>
    <x v="2"/>
    <x v="0"/>
    <n v="19541"/>
    <n v="20693"/>
  </r>
  <r>
    <x v="2"/>
    <x v="2"/>
    <x v="1"/>
    <n v="15147"/>
    <n v="14732"/>
  </r>
  <r>
    <x v="2"/>
    <x v="2"/>
    <x v="2"/>
    <n v="8943"/>
    <n v="10402"/>
  </r>
  <r>
    <x v="2"/>
    <x v="2"/>
    <x v="3"/>
    <n v="8073"/>
    <n v="7094"/>
  </r>
  <r>
    <x v="2"/>
    <x v="3"/>
    <x v="0"/>
    <n v="16653"/>
    <n v="17266"/>
  </r>
  <r>
    <x v="2"/>
    <x v="3"/>
    <x v="1"/>
    <n v="18417"/>
    <n v="20260"/>
  </r>
  <r>
    <x v="2"/>
    <x v="3"/>
    <x v="2"/>
    <n v="12989"/>
    <n v="12489"/>
  </r>
  <r>
    <x v="2"/>
    <x v="3"/>
    <x v="3"/>
    <n v="17990"/>
    <n v="18439"/>
  </r>
  <r>
    <x v="3"/>
    <x v="0"/>
    <x v="0"/>
    <n v="11873"/>
    <n v="11452"/>
  </r>
  <r>
    <x v="3"/>
    <x v="0"/>
    <x v="1"/>
    <n v="5161"/>
    <n v="3362"/>
  </r>
  <r>
    <x v="3"/>
    <x v="0"/>
    <x v="2"/>
    <n v="15173"/>
    <n v="14168"/>
  </r>
  <r>
    <x v="3"/>
    <x v="0"/>
    <x v="3"/>
    <n v="19605"/>
    <n v="21539"/>
  </r>
  <r>
    <x v="3"/>
    <x v="1"/>
    <x v="0"/>
    <n v="18103"/>
    <n v="19445"/>
  </r>
  <r>
    <x v="3"/>
    <x v="1"/>
    <x v="1"/>
    <n v="17743"/>
    <n v="19276"/>
  </r>
  <r>
    <x v="3"/>
    <x v="1"/>
    <x v="2"/>
    <n v="16990"/>
    <n v="16265"/>
  </r>
  <r>
    <x v="3"/>
    <x v="1"/>
    <x v="3"/>
    <n v="6016"/>
    <n v="7789"/>
  </r>
  <r>
    <x v="3"/>
    <x v="2"/>
    <x v="0"/>
    <n v="11439"/>
    <n v="13235"/>
  </r>
  <r>
    <x v="3"/>
    <x v="2"/>
    <x v="1"/>
    <n v="11863"/>
    <n v="13683"/>
  </r>
  <r>
    <x v="3"/>
    <x v="2"/>
    <x v="2"/>
    <n v="13529"/>
    <n v="12407"/>
  </r>
  <r>
    <x v="3"/>
    <x v="2"/>
    <x v="3"/>
    <n v="14268"/>
    <n v="13059"/>
  </r>
  <r>
    <x v="3"/>
    <x v="3"/>
    <x v="0"/>
    <n v="17185"/>
    <n v="17449"/>
  </r>
  <r>
    <x v="3"/>
    <x v="3"/>
    <x v="1"/>
    <n v="9859"/>
    <n v="10094"/>
  </r>
  <r>
    <x v="3"/>
    <x v="3"/>
    <x v="2"/>
    <n v="13571"/>
    <n v="12063"/>
  </r>
  <r>
    <x v="3"/>
    <x v="3"/>
    <x v="3"/>
    <n v="12208"/>
    <n v="11388"/>
  </r>
  <r>
    <x v="4"/>
    <x v="0"/>
    <x v="0"/>
    <n v="7062"/>
    <n v="8946"/>
  </r>
  <r>
    <x v="4"/>
    <x v="0"/>
    <x v="1"/>
    <n v="5064"/>
    <n v="6992"/>
  </r>
  <r>
    <x v="4"/>
    <x v="0"/>
    <x v="2"/>
    <n v="13006"/>
    <n v="13574"/>
  </r>
  <r>
    <x v="4"/>
    <x v="0"/>
    <x v="3"/>
    <n v="10463"/>
    <n v="9615"/>
  </r>
  <r>
    <x v="4"/>
    <x v="1"/>
    <x v="0"/>
    <n v="7027"/>
    <n v="7722"/>
  </r>
  <r>
    <x v="4"/>
    <x v="1"/>
    <x v="1"/>
    <n v="14687"/>
    <n v="15821"/>
  </r>
  <r>
    <x v="4"/>
    <x v="1"/>
    <x v="2"/>
    <n v="10258"/>
    <n v="9780"/>
  </r>
  <r>
    <x v="4"/>
    <x v="1"/>
    <x v="3"/>
    <n v="11736"/>
    <n v="10127"/>
  </r>
  <r>
    <x v="4"/>
    <x v="2"/>
    <x v="0"/>
    <n v="18986"/>
    <n v="17404"/>
  </r>
  <r>
    <x v="4"/>
    <x v="2"/>
    <x v="1"/>
    <n v="19624"/>
    <n v="18002"/>
  </r>
  <r>
    <x v="4"/>
    <x v="2"/>
    <x v="2"/>
    <n v="10892"/>
    <n v="12453"/>
  </r>
  <r>
    <x v="4"/>
    <x v="2"/>
    <x v="3"/>
    <n v="15470"/>
    <n v="16535"/>
  </r>
  <r>
    <x v="4"/>
    <x v="3"/>
    <x v="0"/>
    <n v="11184"/>
    <n v="12283"/>
  </r>
  <r>
    <x v="4"/>
    <x v="3"/>
    <x v="1"/>
    <n v="11278"/>
    <n v="9478"/>
  </r>
  <r>
    <x v="4"/>
    <x v="3"/>
    <x v="2"/>
    <n v="19151"/>
    <n v="17930"/>
  </r>
  <r>
    <x v="4"/>
    <x v="3"/>
    <x v="3"/>
    <n v="8104"/>
    <n v="92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3F412D-BD25-4AC0-9CBE-C255F26B113B}"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C45" firstHeaderRow="0" firstDataRow="1" firstDataCol="1"/>
  <pivotFields count="6">
    <pivotField axis="axisRow" showAll="0">
      <items count="6">
        <item x="0"/>
        <item x="1"/>
        <item x="2"/>
        <item x="3"/>
        <item x="4"/>
        <item t="default"/>
      </items>
    </pivotField>
    <pivotField showAll="0"/>
    <pivotField showAll="0"/>
    <pivotField dataField="1" showAll="0"/>
    <pivotField dataField="1" showAll="0"/>
    <pivotField dragToRow="0" dragToCol="0" dragToPage="0" showAll="0" defaultSubtotal="0"/>
  </pivotFields>
  <rowFields count="1">
    <field x="0"/>
  </rowFields>
  <rowItems count="6">
    <i>
      <x/>
    </i>
    <i>
      <x v="1"/>
    </i>
    <i>
      <x v="2"/>
    </i>
    <i>
      <x v="3"/>
    </i>
    <i>
      <x v="4"/>
    </i>
    <i t="grand">
      <x/>
    </i>
  </rowItems>
  <colFields count="1">
    <field x="-2"/>
  </colFields>
  <colItems count="2">
    <i>
      <x/>
    </i>
    <i i="1">
      <x v="1"/>
    </i>
  </colItems>
  <dataFields count="2">
    <dataField name="Sum of Budget" fld="3" baseField="0" baseItem="0"/>
    <dataField name="Sum of Actual" fld="4" baseField="0" baseItem="0"/>
  </dataFields>
  <chartFormats count="2">
    <chartFormat chart="1" format="0"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D179D2-4775-4F7C-AA26-6B6F317FEE57}" name="Budget vs Actual by Department &amp; Category" cacheId="23"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D30" firstHeaderRow="0" firstDataRow="1" firstDataCol="1"/>
  <pivotFields count="6">
    <pivotField axis="axisRow" showAll="0">
      <items count="6">
        <item x="0"/>
        <item x="1"/>
        <item x="2"/>
        <item x="3"/>
        <item x="4"/>
        <item t="default"/>
      </items>
    </pivotField>
    <pivotField axis="axisRow" showAll="0">
      <items count="5">
        <item x="0"/>
        <item x="2"/>
        <item x="1"/>
        <item x="3"/>
        <item t="default"/>
      </items>
    </pivotField>
    <pivotField axis="axisRow" showAll="0">
      <items count="5">
        <item sd="0" x="1"/>
        <item sd="0" x="3"/>
        <item sd="0" x="2"/>
        <item sd="0" x="0"/>
        <item t="default" sd="0"/>
      </items>
    </pivotField>
    <pivotField dataField="1" showAll="0"/>
    <pivotField dataField="1" showAll="0"/>
    <pivotField dataField="1" dragToRow="0" dragToCol="0" dragToPage="0" showAll="0" defaultSubtotal="0"/>
  </pivotFields>
  <rowFields count="3">
    <field x="0"/>
    <field x="2"/>
    <field x="1"/>
  </rowFields>
  <rowItems count="26">
    <i>
      <x/>
    </i>
    <i r="1">
      <x/>
    </i>
    <i r="1">
      <x v="1"/>
    </i>
    <i r="1">
      <x v="2"/>
    </i>
    <i r="1">
      <x v="3"/>
    </i>
    <i>
      <x v="1"/>
    </i>
    <i r="1">
      <x/>
    </i>
    <i r="1">
      <x v="1"/>
    </i>
    <i r="1">
      <x v="2"/>
    </i>
    <i r="1">
      <x v="3"/>
    </i>
    <i>
      <x v="2"/>
    </i>
    <i r="1">
      <x/>
    </i>
    <i r="1">
      <x v="1"/>
    </i>
    <i r="1">
      <x v="2"/>
    </i>
    <i r="1">
      <x v="3"/>
    </i>
    <i>
      <x v="3"/>
    </i>
    <i r="1">
      <x/>
    </i>
    <i r="1">
      <x v="1"/>
    </i>
    <i r="1">
      <x v="2"/>
    </i>
    <i r="1">
      <x v="3"/>
    </i>
    <i>
      <x v="4"/>
    </i>
    <i r="1">
      <x/>
    </i>
    <i r="1">
      <x v="1"/>
    </i>
    <i r="1">
      <x v="2"/>
    </i>
    <i r="1">
      <x v="3"/>
    </i>
    <i t="grand">
      <x/>
    </i>
  </rowItems>
  <colFields count="1">
    <field x="-2"/>
  </colFields>
  <colItems count="3">
    <i>
      <x/>
    </i>
    <i i="1">
      <x v="1"/>
    </i>
    <i i="2">
      <x v="2"/>
    </i>
  </colItems>
  <dataFields count="3">
    <dataField name="Budget " fld="3" baseField="0" baseItem="0"/>
    <dataField name="Actuals" fld="4" baseField="0" baseItem="0"/>
    <dataField name="Variances" fld="5" baseField="0" baseItem="0"/>
  </dataFields>
  <formats count="2">
    <format dxfId="6">
      <pivotArea dataOnly="0" labelOnly="1" outline="0" fieldPosition="0">
        <references count="1">
          <reference field="4294967294" count="1">
            <x v="1"/>
          </reference>
        </references>
      </pivotArea>
    </format>
    <format dxfId="7">
      <pivotArea dataOnly="0" labelOnly="1" outline="0" fieldPosition="0">
        <references count="1">
          <reference field="4294967294" count="1">
            <x v="1"/>
          </reference>
        </references>
      </pivotArea>
    </format>
  </formats>
  <conditionalFormats count="2">
    <conditionalFormat priority="2">
      <pivotAreas count="1">
        <pivotArea outline="0" fieldPosition="0">
          <references count="1">
            <reference field="4294967294" count="1">
              <x v="2"/>
            </reference>
          </references>
        </pivotArea>
      </pivotAreas>
    </conditionalFormat>
    <conditionalFormat priority="1">
      <pivotAreas count="1">
        <pivotArea outline="0" fieldPosition="0">
          <references count="1">
            <reference field="4294967294" count="1">
              <x v="2"/>
            </reference>
          </references>
        </pivotArea>
      </pivotAreas>
    </conditionalFormat>
  </conditionalFormats>
  <chartFormats count="80">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4">
          <reference field="4294967294" count="1" selected="0">
            <x v="0"/>
          </reference>
          <reference field="0" count="1" selected="0">
            <x v="0"/>
          </reference>
          <reference field="1" count="1" selected="0">
            <x v="3"/>
          </reference>
          <reference field="2" count="1" selected="0">
            <x v="0"/>
          </reference>
        </references>
      </pivotArea>
    </chartFormat>
    <chartFormat chart="3" format="4" series="1">
      <pivotArea type="data" outline="0" fieldPosition="0">
        <references count="4">
          <reference field="4294967294" count="1" selected="0">
            <x v="0"/>
          </reference>
          <reference field="0" count="1" selected="0">
            <x v="0"/>
          </reference>
          <reference field="1" count="1" selected="0">
            <x v="0"/>
          </reference>
          <reference field="2" count="1" selected="0">
            <x v="1"/>
          </reference>
        </references>
      </pivotArea>
    </chartFormat>
    <chartFormat chart="3" format="5" series="1">
      <pivotArea type="data" outline="0" fieldPosition="0">
        <references count="4">
          <reference field="4294967294" count="1" selected="0">
            <x v="0"/>
          </reference>
          <reference field="0" count="1" selected="0">
            <x v="0"/>
          </reference>
          <reference field="1" count="1" selected="0">
            <x v="1"/>
          </reference>
          <reference field="2" count="1" selected="0">
            <x v="1"/>
          </reference>
        </references>
      </pivotArea>
    </chartFormat>
    <chartFormat chart="3" format="6" series="1">
      <pivotArea type="data" outline="0" fieldPosition="0">
        <references count="4">
          <reference field="4294967294" count="1" selected="0">
            <x v="0"/>
          </reference>
          <reference field="0" count="1" selected="0">
            <x v="0"/>
          </reference>
          <reference field="1" count="1" selected="0">
            <x v="2"/>
          </reference>
          <reference field="2" count="1" selected="0">
            <x v="1"/>
          </reference>
        </references>
      </pivotArea>
    </chartFormat>
    <chartFormat chart="3" format="7" series="1">
      <pivotArea type="data" outline="0" fieldPosition="0">
        <references count="4">
          <reference field="4294967294" count="1" selected="0">
            <x v="0"/>
          </reference>
          <reference field="0" count="1" selected="0">
            <x v="0"/>
          </reference>
          <reference field="1" count="1" selected="0">
            <x v="3"/>
          </reference>
          <reference field="2" count="1" selected="0">
            <x v="1"/>
          </reference>
        </references>
      </pivotArea>
    </chartFormat>
    <chartFormat chart="3" format="8" series="1">
      <pivotArea type="data" outline="0" fieldPosition="0">
        <references count="4">
          <reference field="4294967294" count="1" selected="0">
            <x v="0"/>
          </reference>
          <reference field="0" count="1" selected="0">
            <x v="0"/>
          </reference>
          <reference field="1" count="1" selected="0">
            <x v="0"/>
          </reference>
          <reference field="2" count="1" selected="0">
            <x v="2"/>
          </reference>
        </references>
      </pivotArea>
    </chartFormat>
    <chartFormat chart="3" format="9" series="1">
      <pivotArea type="data" outline="0" fieldPosition="0">
        <references count="4">
          <reference field="4294967294" count="1" selected="0">
            <x v="0"/>
          </reference>
          <reference field="0" count="1" selected="0">
            <x v="0"/>
          </reference>
          <reference field="1" count="1" selected="0">
            <x v="1"/>
          </reference>
          <reference field="2" count="1" selected="0">
            <x v="2"/>
          </reference>
        </references>
      </pivotArea>
    </chartFormat>
    <chartFormat chart="3" format="10" series="1">
      <pivotArea type="data" outline="0" fieldPosition="0">
        <references count="4">
          <reference field="4294967294" count="1" selected="0">
            <x v="0"/>
          </reference>
          <reference field="0" count="1" selected="0">
            <x v="0"/>
          </reference>
          <reference field="1" count="1" selected="0">
            <x v="2"/>
          </reference>
          <reference field="2" count="1" selected="0">
            <x v="2"/>
          </reference>
        </references>
      </pivotArea>
    </chartFormat>
    <chartFormat chart="3" format="11" series="1">
      <pivotArea type="data" outline="0" fieldPosition="0">
        <references count="4">
          <reference field="4294967294" count="1" selected="0">
            <x v="0"/>
          </reference>
          <reference field="0" count="1" selected="0">
            <x v="0"/>
          </reference>
          <reference field="1" count="1" selected="0">
            <x v="3"/>
          </reference>
          <reference field="2" count="1" selected="0">
            <x v="2"/>
          </reference>
        </references>
      </pivotArea>
    </chartFormat>
    <chartFormat chart="3" format="12" series="1">
      <pivotArea type="data" outline="0" fieldPosition="0">
        <references count="4">
          <reference field="4294967294" count="1" selected="0">
            <x v="0"/>
          </reference>
          <reference field="0" count="1" selected="0">
            <x v="0"/>
          </reference>
          <reference field="1" count="1" selected="0">
            <x v="0"/>
          </reference>
          <reference field="2" count="1" selected="0">
            <x v="3"/>
          </reference>
        </references>
      </pivotArea>
    </chartFormat>
    <chartFormat chart="3" format="13" series="1">
      <pivotArea type="data" outline="0" fieldPosition="0">
        <references count="4">
          <reference field="4294967294" count="1" selected="0">
            <x v="0"/>
          </reference>
          <reference field="0" count="1" selected="0">
            <x v="0"/>
          </reference>
          <reference field="1" count="1" selected="0">
            <x v="1"/>
          </reference>
          <reference field="2" count="1" selected="0">
            <x v="3"/>
          </reference>
        </references>
      </pivotArea>
    </chartFormat>
    <chartFormat chart="3" format="14" series="1">
      <pivotArea type="data" outline="0" fieldPosition="0">
        <references count="4">
          <reference field="4294967294" count="1" selected="0">
            <x v="0"/>
          </reference>
          <reference field="0" count="1" selected="0">
            <x v="0"/>
          </reference>
          <reference field="1" count="1" selected="0">
            <x v="2"/>
          </reference>
          <reference field="2" count="1" selected="0">
            <x v="3"/>
          </reference>
        </references>
      </pivotArea>
    </chartFormat>
    <chartFormat chart="3" format="15" series="1">
      <pivotArea type="data" outline="0" fieldPosition="0">
        <references count="4">
          <reference field="4294967294" count="1" selected="0">
            <x v="0"/>
          </reference>
          <reference field="0" count="1" selected="0">
            <x v="0"/>
          </reference>
          <reference field="1" count="1" selected="0">
            <x v="3"/>
          </reference>
          <reference field="2" count="1" selected="0">
            <x v="3"/>
          </reference>
        </references>
      </pivotArea>
    </chartFormat>
    <chartFormat chart="3" format="16" series="1">
      <pivotArea type="data" outline="0" fieldPosition="0">
        <references count="4">
          <reference field="4294967294" count="1" selected="0">
            <x v="0"/>
          </reference>
          <reference field="0" count="1" selected="0">
            <x v="1"/>
          </reference>
          <reference field="1" count="1" selected="0">
            <x v="0"/>
          </reference>
          <reference field="2" count="1" selected="0">
            <x v="0"/>
          </reference>
        </references>
      </pivotArea>
    </chartFormat>
    <chartFormat chart="3" format="17" series="1">
      <pivotArea type="data" outline="0" fieldPosition="0">
        <references count="4">
          <reference field="4294967294" count="1" selected="0">
            <x v="0"/>
          </reference>
          <reference field="0" count="1" selected="0">
            <x v="1"/>
          </reference>
          <reference field="1" count="1" selected="0">
            <x v="1"/>
          </reference>
          <reference field="2" count="1" selected="0">
            <x v="0"/>
          </reference>
        </references>
      </pivotArea>
    </chartFormat>
    <chartFormat chart="3" format="18" series="1">
      <pivotArea type="data" outline="0" fieldPosition="0">
        <references count="4">
          <reference field="4294967294" count="1" selected="0">
            <x v="0"/>
          </reference>
          <reference field="0" count="1" selected="0">
            <x v="1"/>
          </reference>
          <reference field="1" count="1" selected="0">
            <x v="2"/>
          </reference>
          <reference field="2" count="1" selected="0">
            <x v="0"/>
          </reference>
        </references>
      </pivotArea>
    </chartFormat>
    <chartFormat chart="3" format="19" series="1">
      <pivotArea type="data" outline="0" fieldPosition="0">
        <references count="4">
          <reference field="4294967294" count="1" selected="0">
            <x v="0"/>
          </reference>
          <reference field="0" count="1" selected="0">
            <x v="1"/>
          </reference>
          <reference field="1" count="1" selected="0">
            <x v="3"/>
          </reference>
          <reference field="2" count="1" selected="0">
            <x v="0"/>
          </reference>
        </references>
      </pivotArea>
    </chartFormat>
    <chartFormat chart="3" format="20" series="1">
      <pivotArea type="data" outline="0" fieldPosition="0">
        <references count="4">
          <reference field="4294967294" count="1" selected="0">
            <x v="0"/>
          </reference>
          <reference field="0" count="1" selected="0">
            <x v="1"/>
          </reference>
          <reference field="1" count="1" selected="0">
            <x v="0"/>
          </reference>
          <reference field="2" count="1" selected="0">
            <x v="1"/>
          </reference>
        </references>
      </pivotArea>
    </chartFormat>
    <chartFormat chart="3" format="21" series="1">
      <pivotArea type="data" outline="0" fieldPosition="0">
        <references count="4">
          <reference field="4294967294" count="1" selected="0">
            <x v="0"/>
          </reference>
          <reference field="0" count="1" selected="0">
            <x v="1"/>
          </reference>
          <reference field="1" count="1" selected="0">
            <x v="1"/>
          </reference>
          <reference field="2" count="1" selected="0">
            <x v="1"/>
          </reference>
        </references>
      </pivotArea>
    </chartFormat>
    <chartFormat chart="3" format="22" series="1">
      <pivotArea type="data" outline="0" fieldPosition="0">
        <references count="4">
          <reference field="4294967294" count="1" selected="0">
            <x v="0"/>
          </reference>
          <reference field="0" count="1" selected="0">
            <x v="1"/>
          </reference>
          <reference field="1" count="1" selected="0">
            <x v="2"/>
          </reference>
          <reference field="2" count="1" selected="0">
            <x v="1"/>
          </reference>
        </references>
      </pivotArea>
    </chartFormat>
    <chartFormat chart="3" format="23" series="1">
      <pivotArea type="data" outline="0" fieldPosition="0">
        <references count="4">
          <reference field="4294967294" count="1" selected="0">
            <x v="0"/>
          </reference>
          <reference field="0" count="1" selected="0">
            <x v="1"/>
          </reference>
          <reference field="1" count="1" selected="0">
            <x v="3"/>
          </reference>
          <reference field="2" count="1" selected="0">
            <x v="1"/>
          </reference>
        </references>
      </pivotArea>
    </chartFormat>
    <chartFormat chart="3" format="24" series="1">
      <pivotArea type="data" outline="0" fieldPosition="0">
        <references count="4">
          <reference field="4294967294" count="1" selected="0">
            <x v="0"/>
          </reference>
          <reference field="0" count="1" selected="0">
            <x v="1"/>
          </reference>
          <reference field="1" count="1" selected="0">
            <x v="0"/>
          </reference>
          <reference field="2" count="1" selected="0">
            <x v="2"/>
          </reference>
        </references>
      </pivotArea>
    </chartFormat>
    <chartFormat chart="3" format="25" series="1">
      <pivotArea type="data" outline="0" fieldPosition="0">
        <references count="4">
          <reference field="4294967294" count="1" selected="0">
            <x v="0"/>
          </reference>
          <reference field="0" count="1" selected="0">
            <x v="1"/>
          </reference>
          <reference field="1" count="1" selected="0">
            <x v="1"/>
          </reference>
          <reference field="2" count="1" selected="0">
            <x v="2"/>
          </reference>
        </references>
      </pivotArea>
    </chartFormat>
    <chartFormat chart="3" format="26" series="1">
      <pivotArea type="data" outline="0" fieldPosition="0">
        <references count="4">
          <reference field="4294967294" count="1" selected="0">
            <x v="0"/>
          </reference>
          <reference field="0" count="1" selected="0">
            <x v="1"/>
          </reference>
          <reference field="1" count="1" selected="0">
            <x v="2"/>
          </reference>
          <reference field="2" count="1" selected="0">
            <x v="2"/>
          </reference>
        </references>
      </pivotArea>
    </chartFormat>
    <chartFormat chart="3" format="27" series="1">
      <pivotArea type="data" outline="0" fieldPosition="0">
        <references count="4">
          <reference field="4294967294" count="1" selected="0">
            <x v="0"/>
          </reference>
          <reference field="0" count="1" selected="0">
            <x v="1"/>
          </reference>
          <reference field="1" count="1" selected="0">
            <x v="3"/>
          </reference>
          <reference field="2" count="1" selected="0">
            <x v="2"/>
          </reference>
        </references>
      </pivotArea>
    </chartFormat>
    <chartFormat chart="3" format="28" series="1">
      <pivotArea type="data" outline="0" fieldPosition="0">
        <references count="4">
          <reference field="4294967294" count="1" selected="0">
            <x v="0"/>
          </reference>
          <reference field="0" count="1" selected="0">
            <x v="1"/>
          </reference>
          <reference field="1" count="1" selected="0">
            <x v="0"/>
          </reference>
          <reference field="2" count="1" selected="0">
            <x v="3"/>
          </reference>
        </references>
      </pivotArea>
    </chartFormat>
    <chartFormat chart="3" format="29" series="1">
      <pivotArea type="data" outline="0" fieldPosition="0">
        <references count="4">
          <reference field="4294967294" count="1" selected="0">
            <x v="0"/>
          </reference>
          <reference field="0" count="1" selected="0">
            <x v="1"/>
          </reference>
          <reference field="1" count="1" selected="0">
            <x v="1"/>
          </reference>
          <reference field="2" count="1" selected="0">
            <x v="3"/>
          </reference>
        </references>
      </pivotArea>
    </chartFormat>
    <chartFormat chart="3" format="30" series="1">
      <pivotArea type="data" outline="0" fieldPosition="0">
        <references count="4">
          <reference field="4294967294" count="1" selected="0">
            <x v="0"/>
          </reference>
          <reference field="0" count="1" selected="0">
            <x v="1"/>
          </reference>
          <reference field="1" count="1" selected="0">
            <x v="2"/>
          </reference>
          <reference field="2" count="1" selected="0">
            <x v="3"/>
          </reference>
        </references>
      </pivotArea>
    </chartFormat>
    <chartFormat chart="3" format="31" series="1">
      <pivotArea type="data" outline="0" fieldPosition="0">
        <references count="4">
          <reference field="4294967294" count="1" selected="0">
            <x v="0"/>
          </reference>
          <reference field="0" count="1" selected="0">
            <x v="1"/>
          </reference>
          <reference field="1" count="1" selected="0">
            <x v="3"/>
          </reference>
          <reference field="2" count="1" selected="0">
            <x v="3"/>
          </reference>
        </references>
      </pivotArea>
    </chartFormat>
    <chartFormat chart="3" format="32" series="1">
      <pivotArea type="data" outline="0" fieldPosition="0">
        <references count="4">
          <reference field="4294967294" count="1" selected="0">
            <x v="0"/>
          </reference>
          <reference field="0" count="1" selected="0">
            <x v="2"/>
          </reference>
          <reference field="1" count="1" selected="0">
            <x v="0"/>
          </reference>
          <reference field="2" count="1" selected="0">
            <x v="0"/>
          </reference>
        </references>
      </pivotArea>
    </chartFormat>
    <chartFormat chart="3" format="33" series="1">
      <pivotArea type="data" outline="0" fieldPosition="0">
        <references count="4">
          <reference field="4294967294" count="1" selected="0">
            <x v="0"/>
          </reference>
          <reference field="0" count="1" selected="0">
            <x v="2"/>
          </reference>
          <reference field="1" count="1" selected="0">
            <x v="1"/>
          </reference>
          <reference field="2" count="1" selected="0">
            <x v="0"/>
          </reference>
        </references>
      </pivotArea>
    </chartFormat>
    <chartFormat chart="3" format="34" series="1">
      <pivotArea type="data" outline="0" fieldPosition="0">
        <references count="4">
          <reference field="4294967294" count="1" selected="0">
            <x v="0"/>
          </reference>
          <reference field="0" count="1" selected="0">
            <x v="2"/>
          </reference>
          <reference field="1" count="1" selected="0">
            <x v="2"/>
          </reference>
          <reference field="2" count="1" selected="0">
            <x v="0"/>
          </reference>
        </references>
      </pivotArea>
    </chartFormat>
    <chartFormat chart="3" format="35" series="1">
      <pivotArea type="data" outline="0" fieldPosition="0">
        <references count="4">
          <reference field="4294967294" count="1" selected="0">
            <x v="0"/>
          </reference>
          <reference field="0" count="1" selected="0">
            <x v="2"/>
          </reference>
          <reference field="1" count="1" selected="0">
            <x v="3"/>
          </reference>
          <reference field="2" count="1" selected="0">
            <x v="0"/>
          </reference>
        </references>
      </pivotArea>
    </chartFormat>
    <chartFormat chart="3" format="36" series="1">
      <pivotArea type="data" outline="0" fieldPosition="0">
        <references count="4">
          <reference field="4294967294" count="1" selected="0">
            <x v="0"/>
          </reference>
          <reference field="0" count="1" selected="0">
            <x v="2"/>
          </reference>
          <reference field="1" count="1" selected="0">
            <x v="0"/>
          </reference>
          <reference field="2" count="1" selected="0">
            <x v="1"/>
          </reference>
        </references>
      </pivotArea>
    </chartFormat>
    <chartFormat chart="3" format="37" series="1">
      <pivotArea type="data" outline="0" fieldPosition="0">
        <references count="4">
          <reference field="4294967294" count="1" selected="0">
            <x v="0"/>
          </reference>
          <reference field="0" count="1" selected="0">
            <x v="2"/>
          </reference>
          <reference field="1" count="1" selected="0">
            <x v="1"/>
          </reference>
          <reference field="2" count="1" selected="0">
            <x v="1"/>
          </reference>
        </references>
      </pivotArea>
    </chartFormat>
    <chartFormat chart="3" format="38" series="1">
      <pivotArea type="data" outline="0" fieldPosition="0">
        <references count="4">
          <reference field="4294967294" count="1" selected="0">
            <x v="0"/>
          </reference>
          <reference field="0" count="1" selected="0">
            <x v="2"/>
          </reference>
          <reference field="1" count="1" selected="0">
            <x v="2"/>
          </reference>
          <reference field="2" count="1" selected="0">
            <x v="1"/>
          </reference>
        </references>
      </pivotArea>
    </chartFormat>
    <chartFormat chart="3" format="39" series="1">
      <pivotArea type="data" outline="0" fieldPosition="0">
        <references count="4">
          <reference field="4294967294" count="1" selected="0">
            <x v="0"/>
          </reference>
          <reference field="0" count="1" selected="0">
            <x v="2"/>
          </reference>
          <reference field="1" count="1" selected="0">
            <x v="3"/>
          </reference>
          <reference field="2" count="1" selected="0">
            <x v="1"/>
          </reference>
        </references>
      </pivotArea>
    </chartFormat>
    <chartFormat chart="3" format="40" series="1">
      <pivotArea type="data" outline="0" fieldPosition="0">
        <references count="4">
          <reference field="4294967294" count="1" selected="0">
            <x v="0"/>
          </reference>
          <reference field="0" count="1" selected="0">
            <x v="2"/>
          </reference>
          <reference field="1" count="1" selected="0">
            <x v="0"/>
          </reference>
          <reference field="2" count="1" selected="0">
            <x v="2"/>
          </reference>
        </references>
      </pivotArea>
    </chartFormat>
    <chartFormat chart="3" format="41" series="1">
      <pivotArea type="data" outline="0" fieldPosition="0">
        <references count="4">
          <reference field="4294967294" count="1" selected="0">
            <x v="0"/>
          </reference>
          <reference field="0" count="1" selected="0">
            <x v="2"/>
          </reference>
          <reference field="1" count="1" selected="0">
            <x v="1"/>
          </reference>
          <reference field="2" count="1" selected="0">
            <x v="2"/>
          </reference>
        </references>
      </pivotArea>
    </chartFormat>
    <chartFormat chart="3" format="42" series="1">
      <pivotArea type="data" outline="0" fieldPosition="0">
        <references count="4">
          <reference field="4294967294" count="1" selected="0">
            <x v="0"/>
          </reference>
          <reference field="0" count="1" selected="0">
            <x v="2"/>
          </reference>
          <reference field="1" count="1" selected="0">
            <x v="2"/>
          </reference>
          <reference field="2" count="1" selected="0">
            <x v="2"/>
          </reference>
        </references>
      </pivotArea>
    </chartFormat>
    <chartFormat chart="3" format="43" series="1">
      <pivotArea type="data" outline="0" fieldPosition="0">
        <references count="4">
          <reference field="4294967294" count="1" selected="0">
            <x v="0"/>
          </reference>
          <reference field="0" count="1" selected="0">
            <x v="2"/>
          </reference>
          <reference field="1" count="1" selected="0">
            <x v="3"/>
          </reference>
          <reference field="2" count="1" selected="0">
            <x v="2"/>
          </reference>
        </references>
      </pivotArea>
    </chartFormat>
    <chartFormat chart="3" format="44" series="1">
      <pivotArea type="data" outline="0" fieldPosition="0">
        <references count="4">
          <reference field="4294967294" count="1" selected="0">
            <x v="0"/>
          </reference>
          <reference field="0" count="1" selected="0">
            <x v="2"/>
          </reference>
          <reference field="1" count="1" selected="0">
            <x v="0"/>
          </reference>
          <reference field="2" count="1" selected="0">
            <x v="3"/>
          </reference>
        </references>
      </pivotArea>
    </chartFormat>
    <chartFormat chart="3" format="45" series="1">
      <pivotArea type="data" outline="0" fieldPosition="0">
        <references count="4">
          <reference field="4294967294" count="1" selected="0">
            <x v="0"/>
          </reference>
          <reference field="0" count="1" selected="0">
            <x v="2"/>
          </reference>
          <reference field="1" count="1" selected="0">
            <x v="1"/>
          </reference>
          <reference field="2" count="1" selected="0">
            <x v="3"/>
          </reference>
        </references>
      </pivotArea>
    </chartFormat>
    <chartFormat chart="3" format="46" series="1">
      <pivotArea type="data" outline="0" fieldPosition="0">
        <references count="4">
          <reference field="4294967294" count="1" selected="0">
            <x v="0"/>
          </reference>
          <reference field="0" count="1" selected="0">
            <x v="2"/>
          </reference>
          <reference field="1" count="1" selected="0">
            <x v="2"/>
          </reference>
          <reference field="2" count="1" selected="0">
            <x v="3"/>
          </reference>
        </references>
      </pivotArea>
    </chartFormat>
    <chartFormat chart="3" format="47" series="1">
      <pivotArea type="data" outline="0" fieldPosition="0">
        <references count="4">
          <reference field="4294967294" count="1" selected="0">
            <x v="0"/>
          </reference>
          <reference field="0" count="1" selected="0">
            <x v="2"/>
          </reference>
          <reference field="1" count="1" selected="0">
            <x v="3"/>
          </reference>
          <reference field="2" count="1" selected="0">
            <x v="3"/>
          </reference>
        </references>
      </pivotArea>
    </chartFormat>
    <chartFormat chart="3" format="48" series="1">
      <pivotArea type="data" outline="0" fieldPosition="0">
        <references count="4">
          <reference field="4294967294" count="1" selected="0">
            <x v="0"/>
          </reference>
          <reference field="0" count="1" selected="0">
            <x v="3"/>
          </reference>
          <reference field="1" count="1" selected="0">
            <x v="0"/>
          </reference>
          <reference field="2" count="1" selected="0">
            <x v="0"/>
          </reference>
        </references>
      </pivotArea>
    </chartFormat>
    <chartFormat chart="3" format="49" series="1">
      <pivotArea type="data" outline="0" fieldPosition="0">
        <references count="4">
          <reference field="4294967294" count="1" selected="0">
            <x v="0"/>
          </reference>
          <reference field="0" count="1" selected="0">
            <x v="3"/>
          </reference>
          <reference field="1" count="1" selected="0">
            <x v="1"/>
          </reference>
          <reference field="2" count="1" selected="0">
            <x v="0"/>
          </reference>
        </references>
      </pivotArea>
    </chartFormat>
    <chartFormat chart="3" format="50" series="1">
      <pivotArea type="data" outline="0" fieldPosition="0">
        <references count="4">
          <reference field="4294967294" count="1" selected="0">
            <x v="0"/>
          </reference>
          <reference field="0" count="1" selected="0">
            <x v="3"/>
          </reference>
          <reference field="1" count="1" selected="0">
            <x v="2"/>
          </reference>
          <reference field="2" count="1" selected="0">
            <x v="0"/>
          </reference>
        </references>
      </pivotArea>
    </chartFormat>
    <chartFormat chart="3" format="51" series="1">
      <pivotArea type="data" outline="0" fieldPosition="0">
        <references count="4">
          <reference field="4294967294" count="1" selected="0">
            <x v="0"/>
          </reference>
          <reference field="0" count="1" selected="0">
            <x v="3"/>
          </reference>
          <reference field="1" count="1" selected="0">
            <x v="3"/>
          </reference>
          <reference field="2" count="1" selected="0">
            <x v="0"/>
          </reference>
        </references>
      </pivotArea>
    </chartFormat>
    <chartFormat chart="3" format="52" series="1">
      <pivotArea type="data" outline="0" fieldPosition="0">
        <references count="4">
          <reference field="4294967294" count="1" selected="0">
            <x v="0"/>
          </reference>
          <reference field="0" count="1" selected="0">
            <x v="3"/>
          </reference>
          <reference field="1" count="1" selected="0">
            <x v="0"/>
          </reference>
          <reference field="2" count="1" selected="0">
            <x v="1"/>
          </reference>
        </references>
      </pivotArea>
    </chartFormat>
    <chartFormat chart="3" format="53" series="1">
      <pivotArea type="data" outline="0" fieldPosition="0">
        <references count="4">
          <reference field="4294967294" count="1" selected="0">
            <x v="0"/>
          </reference>
          <reference field="0" count="1" selected="0">
            <x v="3"/>
          </reference>
          <reference field="1" count="1" selected="0">
            <x v="1"/>
          </reference>
          <reference field="2" count="1" selected="0">
            <x v="1"/>
          </reference>
        </references>
      </pivotArea>
    </chartFormat>
    <chartFormat chart="3" format="54" series="1">
      <pivotArea type="data" outline="0" fieldPosition="0">
        <references count="4">
          <reference field="4294967294" count="1" selected="0">
            <x v="0"/>
          </reference>
          <reference field="0" count="1" selected="0">
            <x v="3"/>
          </reference>
          <reference field="1" count="1" selected="0">
            <x v="2"/>
          </reference>
          <reference field="2" count="1" selected="0">
            <x v="1"/>
          </reference>
        </references>
      </pivotArea>
    </chartFormat>
    <chartFormat chart="3" format="55" series="1">
      <pivotArea type="data" outline="0" fieldPosition="0">
        <references count="4">
          <reference field="4294967294" count="1" selected="0">
            <x v="0"/>
          </reference>
          <reference field="0" count="1" selected="0">
            <x v="3"/>
          </reference>
          <reference field="1" count="1" selected="0">
            <x v="3"/>
          </reference>
          <reference field="2" count="1" selected="0">
            <x v="1"/>
          </reference>
        </references>
      </pivotArea>
    </chartFormat>
    <chartFormat chart="3" format="56" series="1">
      <pivotArea type="data" outline="0" fieldPosition="0">
        <references count="4">
          <reference field="4294967294" count="1" selected="0">
            <x v="0"/>
          </reference>
          <reference field="0" count="1" selected="0">
            <x v="3"/>
          </reference>
          <reference field="1" count="1" selected="0">
            <x v="0"/>
          </reference>
          <reference field="2" count="1" selected="0">
            <x v="2"/>
          </reference>
        </references>
      </pivotArea>
    </chartFormat>
    <chartFormat chart="3" format="57" series="1">
      <pivotArea type="data" outline="0" fieldPosition="0">
        <references count="4">
          <reference field="4294967294" count="1" selected="0">
            <x v="0"/>
          </reference>
          <reference field="0" count="1" selected="0">
            <x v="3"/>
          </reference>
          <reference field="1" count="1" selected="0">
            <x v="1"/>
          </reference>
          <reference field="2" count="1" selected="0">
            <x v="2"/>
          </reference>
        </references>
      </pivotArea>
    </chartFormat>
    <chartFormat chart="3" format="58" series="1">
      <pivotArea type="data" outline="0" fieldPosition="0">
        <references count="4">
          <reference field="4294967294" count="1" selected="0">
            <x v="0"/>
          </reference>
          <reference field="0" count="1" selected="0">
            <x v="3"/>
          </reference>
          <reference field="1" count="1" selected="0">
            <x v="2"/>
          </reference>
          <reference field="2" count="1" selected="0">
            <x v="2"/>
          </reference>
        </references>
      </pivotArea>
    </chartFormat>
    <chartFormat chart="3" format="59" series="1">
      <pivotArea type="data" outline="0" fieldPosition="0">
        <references count="4">
          <reference field="4294967294" count="1" selected="0">
            <x v="0"/>
          </reference>
          <reference field="0" count="1" selected="0">
            <x v="3"/>
          </reference>
          <reference field="1" count="1" selected="0">
            <x v="3"/>
          </reference>
          <reference field="2" count="1" selected="0">
            <x v="2"/>
          </reference>
        </references>
      </pivotArea>
    </chartFormat>
    <chartFormat chart="3" format="60" series="1">
      <pivotArea type="data" outline="0" fieldPosition="0">
        <references count="4">
          <reference field="4294967294" count="1" selected="0">
            <x v="0"/>
          </reference>
          <reference field="0" count="1" selected="0">
            <x v="3"/>
          </reference>
          <reference field="1" count="1" selected="0">
            <x v="0"/>
          </reference>
          <reference field="2" count="1" selected="0">
            <x v="3"/>
          </reference>
        </references>
      </pivotArea>
    </chartFormat>
    <chartFormat chart="3" format="61" series="1">
      <pivotArea type="data" outline="0" fieldPosition="0">
        <references count="4">
          <reference field="4294967294" count="1" selected="0">
            <x v="0"/>
          </reference>
          <reference field="0" count="1" selected="0">
            <x v="3"/>
          </reference>
          <reference field="1" count="1" selected="0">
            <x v="1"/>
          </reference>
          <reference field="2" count="1" selected="0">
            <x v="3"/>
          </reference>
        </references>
      </pivotArea>
    </chartFormat>
    <chartFormat chart="3" format="62" series="1">
      <pivotArea type="data" outline="0" fieldPosition="0">
        <references count="4">
          <reference field="4294967294" count="1" selected="0">
            <x v="0"/>
          </reference>
          <reference field="0" count="1" selected="0">
            <x v="3"/>
          </reference>
          <reference field="1" count="1" selected="0">
            <x v="2"/>
          </reference>
          <reference field="2" count="1" selected="0">
            <x v="3"/>
          </reference>
        </references>
      </pivotArea>
    </chartFormat>
    <chartFormat chart="3" format="63" series="1">
      <pivotArea type="data" outline="0" fieldPosition="0">
        <references count="4">
          <reference field="4294967294" count="1" selected="0">
            <x v="0"/>
          </reference>
          <reference field="0" count="1" selected="0">
            <x v="3"/>
          </reference>
          <reference field="1" count="1" selected="0">
            <x v="3"/>
          </reference>
          <reference field="2" count="1" selected="0">
            <x v="3"/>
          </reference>
        </references>
      </pivotArea>
    </chartFormat>
    <chartFormat chart="3" format="64" series="1">
      <pivotArea type="data" outline="0" fieldPosition="0">
        <references count="4">
          <reference field="4294967294" count="1" selected="0">
            <x v="0"/>
          </reference>
          <reference field="0" count="1" selected="0">
            <x v="4"/>
          </reference>
          <reference field="1" count="1" selected="0">
            <x v="0"/>
          </reference>
          <reference field="2" count="1" selected="0">
            <x v="0"/>
          </reference>
        </references>
      </pivotArea>
    </chartFormat>
    <chartFormat chart="3" format="65" series="1">
      <pivotArea type="data" outline="0" fieldPosition="0">
        <references count="4">
          <reference field="4294967294" count="1" selected="0">
            <x v="0"/>
          </reference>
          <reference field="0" count="1" selected="0">
            <x v="4"/>
          </reference>
          <reference field="1" count="1" selected="0">
            <x v="1"/>
          </reference>
          <reference field="2" count="1" selected="0">
            <x v="0"/>
          </reference>
        </references>
      </pivotArea>
    </chartFormat>
    <chartFormat chart="3" format="66" series="1">
      <pivotArea type="data" outline="0" fieldPosition="0">
        <references count="4">
          <reference field="4294967294" count="1" selected="0">
            <x v="0"/>
          </reference>
          <reference field="0" count="1" selected="0">
            <x v="4"/>
          </reference>
          <reference field="1" count="1" selected="0">
            <x v="2"/>
          </reference>
          <reference field="2" count="1" selected="0">
            <x v="0"/>
          </reference>
        </references>
      </pivotArea>
    </chartFormat>
    <chartFormat chart="3" format="67" series="1">
      <pivotArea type="data" outline="0" fieldPosition="0">
        <references count="4">
          <reference field="4294967294" count="1" selected="0">
            <x v="0"/>
          </reference>
          <reference field="0" count="1" selected="0">
            <x v="4"/>
          </reference>
          <reference field="1" count="1" selected="0">
            <x v="3"/>
          </reference>
          <reference field="2" count="1" selected="0">
            <x v="0"/>
          </reference>
        </references>
      </pivotArea>
    </chartFormat>
    <chartFormat chart="3" format="68" series="1">
      <pivotArea type="data" outline="0" fieldPosition="0">
        <references count="4">
          <reference field="4294967294" count="1" selected="0">
            <x v="0"/>
          </reference>
          <reference field="0" count="1" selected="0">
            <x v="4"/>
          </reference>
          <reference field="1" count="1" selected="0">
            <x v="0"/>
          </reference>
          <reference field="2" count="1" selected="0">
            <x v="1"/>
          </reference>
        </references>
      </pivotArea>
    </chartFormat>
    <chartFormat chart="3" format="69" series="1">
      <pivotArea type="data" outline="0" fieldPosition="0">
        <references count="4">
          <reference field="4294967294" count="1" selected="0">
            <x v="0"/>
          </reference>
          <reference field="0" count="1" selected="0">
            <x v="4"/>
          </reference>
          <reference field="1" count="1" selected="0">
            <x v="1"/>
          </reference>
          <reference field="2" count="1" selected="0">
            <x v="1"/>
          </reference>
        </references>
      </pivotArea>
    </chartFormat>
    <chartFormat chart="3" format="70" series="1">
      <pivotArea type="data" outline="0" fieldPosition="0">
        <references count="4">
          <reference field="4294967294" count="1" selected="0">
            <x v="0"/>
          </reference>
          <reference field="0" count="1" selected="0">
            <x v="4"/>
          </reference>
          <reference field="1" count="1" selected="0">
            <x v="2"/>
          </reference>
          <reference field="2" count="1" selected="0">
            <x v="1"/>
          </reference>
        </references>
      </pivotArea>
    </chartFormat>
    <chartFormat chart="3" format="71" series="1">
      <pivotArea type="data" outline="0" fieldPosition="0">
        <references count="4">
          <reference field="4294967294" count="1" selected="0">
            <x v="0"/>
          </reference>
          <reference field="0" count="1" selected="0">
            <x v="4"/>
          </reference>
          <reference field="1" count="1" selected="0">
            <x v="3"/>
          </reference>
          <reference field="2" count="1" selected="0">
            <x v="1"/>
          </reference>
        </references>
      </pivotArea>
    </chartFormat>
    <chartFormat chart="3" format="72" series="1">
      <pivotArea type="data" outline="0" fieldPosition="0">
        <references count="4">
          <reference field="4294967294" count="1" selected="0">
            <x v="0"/>
          </reference>
          <reference field="0" count="1" selected="0">
            <x v="4"/>
          </reference>
          <reference field="1" count="1" selected="0">
            <x v="0"/>
          </reference>
          <reference field="2" count="1" selected="0">
            <x v="2"/>
          </reference>
        </references>
      </pivotArea>
    </chartFormat>
    <chartFormat chart="3" format="73" series="1">
      <pivotArea type="data" outline="0" fieldPosition="0">
        <references count="4">
          <reference field="4294967294" count="1" selected="0">
            <x v="0"/>
          </reference>
          <reference field="0" count="1" selected="0">
            <x v="4"/>
          </reference>
          <reference field="1" count="1" selected="0">
            <x v="1"/>
          </reference>
          <reference field="2" count="1" selected="0">
            <x v="2"/>
          </reference>
        </references>
      </pivotArea>
    </chartFormat>
    <chartFormat chart="3" format="74" series="1">
      <pivotArea type="data" outline="0" fieldPosition="0">
        <references count="4">
          <reference field="4294967294" count="1" selected="0">
            <x v="0"/>
          </reference>
          <reference field="0" count="1" selected="0">
            <x v="4"/>
          </reference>
          <reference field="1" count="1" selected="0">
            <x v="2"/>
          </reference>
          <reference field="2" count="1" selected="0">
            <x v="2"/>
          </reference>
        </references>
      </pivotArea>
    </chartFormat>
    <chartFormat chart="3" format="75" series="1">
      <pivotArea type="data" outline="0" fieldPosition="0">
        <references count="4">
          <reference field="4294967294" count="1" selected="0">
            <x v="0"/>
          </reference>
          <reference field="0" count="1" selected="0">
            <x v="4"/>
          </reference>
          <reference field="1" count="1" selected="0">
            <x v="3"/>
          </reference>
          <reference field="2" count="1" selected="0">
            <x v="2"/>
          </reference>
        </references>
      </pivotArea>
    </chartFormat>
    <chartFormat chart="3" format="76" series="1">
      <pivotArea type="data" outline="0" fieldPosition="0">
        <references count="4">
          <reference field="4294967294" count="1" selected="0">
            <x v="0"/>
          </reference>
          <reference field="0" count="1" selected="0">
            <x v="4"/>
          </reference>
          <reference field="1" count="1" selected="0">
            <x v="0"/>
          </reference>
          <reference field="2" count="1" selected="0">
            <x v="3"/>
          </reference>
        </references>
      </pivotArea>
    </chartFormat>
    <chartFormat chart="3" format="77" series="1">
      <pivotArea type="data" outline="0" fieldPosition="0">
        <references count="4">
          <reference field="4294967294" count="1" selected="0">
            <x v="0"/>
          </reference>
          <reference field="0" count="1" selected="0">
            <x v="4"/>
          </reference>
          <reference field="1" count="1" selected="0">
            <x v="1"/>
          </reference>
          <reference field="2" count="1" selected="0">
            <x v="3"/>
          </reference>
        </references>
      </pivotArea>
    </chartFormat>
    <chartFormat chart="3" format="78" series="1">
      <pivotArea type="data" outline="0" fieldPosition="0">
        <references count="4">
          <reference field="4294967294" count="1" selected="0">
            <x v="0"/>
          </reference>
          <reference field="0" count="1" selected="0">
            <x v="4"/>
          </reference>
          <reference field="1" count="1" selected="0">
            <x v="2"/>
          </reference>
          <reference field="2" count="1" selected="0">
            <x v="3"/>
          </reference>
        </references>
      </pivotArea>
    </chartFormat>
    <chartFormat chart="3" format="79" series="1">
      <pivotArea type="data" outline="0" fieldPosition="0">
        <references count="4">
          <reference field="4294967294" count="1" selected="0">
            <x v="0"/>
          </reference>
          <reference field="0" count="1" selected="0">
            <x v="4"/>
          </reference>
          <reference field="1" count="1" selected="0">
            <x v="3"/>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8849218-A48B-4D99-B238-D82B8D6D0A87}" sourceName="Department">
  <extLst>
    <x:ext xmlns:x15="http://schemas.microsoft.com/office/spreadsheetml/2010/11/main" uri="{2F2917AC-EB37-4324-AD4E-5DD8C200BD13}">
      <x15:tableSlicerCache tableId="2"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8B5FB4E-E034-42CC-853B-484AD0C1CB0A}" sourceName="Category">
  <extLst>
    <x:ext xmlns:x15="http://schemas.microsoft.com/office/spreadsheetml/2010/11/main" uri="{2F2917AC-EB37-4324-AD4E-5DD8C200BD13}">
      <x15:tableSlicerCache tableId="2"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E047403-E477-498E-A3A9-EB8CBFDAA368}" sourceName="Month">
  <extLst>
    <x:ext xmlns:x15="http://schemas.microsoft.com/office/spreadsheetml/2010/11/main" uri="{2F2917AC-EB37-4324-AD4E-5DD8C200BD13}">
      <x15:tableSlicerCache tableId="2"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2E4710A-834F-4EAE-A80E-BDB45A44DCDB}" cache="Slicer_Department" caption="Department" rowHeight="241300"/>
  <slicer name="Category" xr10:uid="{828E194B-2919-4353-8CCC-B7B3759427E5}" cache="Slicer_Category" caption="Category" rowHeight="241300"/>
  <slicer name="Month" xr10:uid="{28ADCFDB-62FC-4F8D-897E-8252D50798F4}"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A4476B-3B49-4219-8B7D-6FB372321414}" name="Table1" displayName="Table1" ref="A1:E81" totalsRowShown="0" headerRowDxfId="24" headerRowBorderDxfId="25" tableBorderDxfId="26">
  <autoFilter ref="A1:E81" xr:uid="{3BA4476B-3B49-4219-8B7D-6FB372321414}"/>
  <tableColumns count="5">
    <tableColumn id="1" xr3:uid="{D5610EE3-7867-4306-BECA-5165874341EA}" name="Month"/>
    <tableColumn id="2" xr3:uid="{1DF76E2B-0C47-471A-B46D-F14FE2AC768C}" name="Department"/>
    <tableColumn id="3" xr3:uid="{F29524E5-0233-451D-8A61-A93B935515EC}" name="Category"/>
    <tableColumn id="4" xr3:uid="{2932DFB5-C08F-42D7-8327-C086FDBE808C}" name="Budget"/>
    <tableColumn id="5" xr3:uid="{8E731B0C-7632-4C76-89DC-A468DE437125}" name="Actua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E0C3D1-C622-4620-BA36-9FA948C8EC5D}" name="SummaryTable" displayName="SummaryTable" ref="A1:F81" totalsRowShown="0" headerRowDxfId="23" headerRowBorderDxfId="21" tableBorderDxfId="22">
  <autoFilter ref="A1:F81" xr:uid="{5FE0C3D1-C622-4620-BA36-9FA948C8EC5D}">
    <filterColumn colId="1">
      <filters>
        <filter val="Academic Delivery"/>
      </filters>
    </filterColumn>
  </autoFilter>
  <tableColumns count="6">
    <tableColumn id="1" xr3:uid="{6BFDD781-C105-4ED0-82E7-20F0A00CF9C7}" name="Month"/>
    <tableColumn id="2" xr3:uid="{BC62B647-5FC8-430E-AF77-29E6D513F518}" name="Department"/>
    <tableColumn id="3" xr3:uid="{60903C99-EF3B-43C9-AC7C-2A35FD0684C4}" name="Category"/>
    <tableColumn id="4" xr3:uid="{D4D1330B-D435-4C31-BB4E-8E78D2983AB3}" name="Budget"/>
    <tableColumn id="5" xr3:uid="{EEDCAB34-4264-4AF2-A798-1B33FAE26C16}" name="Actual"/>
    <tableColumn id="6" xr3:uid="{9408FF58-81A7-4E31-A898-065C4F05DF90}" name="Variance " dataDxfId="20">
      <calculatedColumnFormula>SummaryTable[[#This Row],[Budget]]-SummaryTable[[#This Row],[Actual]]</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0F9AA-E2DF-4CC3-9C17-D86789727FDC}">
  <dimension ref="A4:D45"/>
  <sheetViews>
    <sheetView tabSelected="1" workbookViewId="0">
      <selection activeCell="E53" sqref="E53"/>
    </sheetView>
  </sheetViews>
  <sheetFormatPr defaultRowHeight="15" x14ac:dyDescent="0.25"/>
  <cols>
    <col min="1" max="1" width="13.140625" bestFit="1" customWidth="1"/>
    <col min="2" max="2" width="14" bestFit="1" customWidth="1"/>
    <col min="3" max="3" width="13.28515625" bestFit="1" customWidth="1"/>
    <col min="4" max="5" width="15.85546875" bestFit="1" customWidth="1"/>
    <col min="6" max="6" width="16.140625" bestFit="1" customWidth="1"/>
    <col min="7" max="7" width="17.7109375" bestFit="1" customWidth="1"/>
    <col min="8" max="8" width="8.85546875" bestFit="1" customWidth="1"/>
    <col min="9" max="9" width="10.140625" bestFit="1" customWidth="1"/>
    <col min="10" max="10" width="15.85546875" bestFit="1" customWidth="1"/>
    <col min="11" max="11" width="15" bestFit="1" customWidth="1"/>
    <col min="12" max="12" width="17.7109375" bestFit="1" customWidth="1"/>
    <col min="13" max="13" width="8.85546875" bestFit="1" customWidth="1"/>
    <col min="14" max="14" width="10.140625" bestFit="1" customWidth="1"/>
    <col min="15" max="15" width="15.85546875" bestFit="1" customWidth="1"/>
    <col min="16" max="16" width="17.85546875" bestFit="1" customWidth="1"/>
    <col min="17" max="17" width="17.7109375" bestFit="1" customWidth="1"/>
    <col min="18" max="18" width="8.85546875" bestFit="1" customWidth="1"/>
    <col min="19" max="19" width="10.140625" bestFit="1" customWidth="1"/>
    <col min="20" max="20" width="15.85546875" bestFit="1" customWidth="1"/>
    <col min="21" max="21" width="12.7109375" bestFit="1" customWidth="1"/>
    <col min="22" max="22" width="8.7109375" bestFit="1" customWidth="1"/>
    <col min="23" max="23" width="17.7109375" bestFit="1" customWidth="1"/>
    <col min="24" max="24" width="8.85546875" bestFit="1" customWidth="1"/>
    <col min="25" max="25" width="10.140625" bestFit="1" customWidth="1"/>
    <col min="26" max="26" width="15.85546875" bestFit="1" customWidth="1"/>
    <col min="27" max="27" width="16.140625" bestFit="1" customWidth="1"/>
    <col min="28" max="28" width="17.7109375" bestFit="1" customWidth="1"/>
    <col min="29" max="29" width="8.85546875" bestFit="1" customWidth="1"/>
    <col min="30" max="30" width="10.140625" bestFit="1" customWidth="1"/>
    <col min="31" max="31" width="15.85546875" bestFit="1" customWidth="1"/>
    <col min="32" max="32" width="15" bestFit="1" customWidth="1"/>
    <col min="33" max="33" width="17.7109375" bestFit="1" customWidth="1"/>
    <col min="34" max="34" width="8.85546875" bestFit="1" customWidth="1"/>
    <col min="35" max="35" width="10.140625" bestFit="1" customWidth="1"/>
    <col min="36" max="36" width="15.85546875" bestFit="1" customWidth="1"/>
    <col min="37" max="37" width="17.85546875" bestFit="1" customWidth="1"/>
    <col min="38" max="38" width="17.7109375" bestFit="1" customWidth="1"/>
    <col min="39" max="39" width="8.85546875" bestFit="1" customWidth="1"/>
    <col min="40" max="40" width="10.140625" bestFit="1" customWidth="1"/>
    <col min="41" max="41" width="15.85546875" bestFit="1" customWidth="1"/>
    <col min="42" max="42" width="12.7109375" bestFit="1" customWidth="1"/>
    <col min="43" max="43" width="9.140625" bestFit="1" customWidth="1"/>
    <col min="44" max="44" width="17.7109375" bestFit="1" customWidth="1"/>
    <col min="45" max="45" width="8.85546875" bestFit="1" customWidth="1"/>
    <col min="46" max="46" width="10.140625" bestFit="1" customWidth="1"/>
    <col min="47" max="47" width="15.85546875" bestFit="1" customWidth="1"/>
    <col min="48" max="48" width="16.140625" bestFit="1" customWidth="1"/>
    <col min="49" max="49" width="17.7109375" bestFit="1" customWidth="1"/>
    <col min="50" max="50" width="8.85546875" bestFit="1" customWidth="1"/>
    <col min="51" max="51" width="10.140625" bestFit="1" customWidth="1"/>
    <col min="52" max="52" width="15.85546875" bestFit="1" customWidth="1"/>
    <col min="53" max="53" width="15" bestFit="1" customWidth="1"/>
    <col min="54" max="54" width="17.7109375" bestFit="1" customWidth="1"/>
    <col min="55" max="55" width="8.85546875" bestFit="1" customWidth="1"/>
    <col min="56" max="56" width="10.140625" bestFit="1" customWidth="1"/>
    <col min="57" max="57" width="15.85546875" bestFit="1" customWidth="1"/>
    <col min="58" max="58" width="17.85546875" bestFit="1" customWidth="1"/>
    <col min="59" max="59" width="17.7109375" bestFit="1" customWidth="1"/>
    <col min="60" max="60" width="8.85546875" bestFit="1" customWidth="1"/>
    <col min="61" max="61" width="10.140625" bestFit="1" customWidth="1"/>
    <col min="62" max="62" width="15.85546875" bestFit="1" customWidth="1"/>
    <col min="63" max="63" width="12.7109375" bestFit="1" customWidth="1"/>
    <col min="64" max="64" width="9.42578125" bestFit="1" customWidth="1"/>
    <col min="65" max="65" width="17.7109375" bestFit="1" customWidth="1"/>
    <col min="66" max="66" width="8.85546875" bestFit="1" customWidth="1"/>
    <col min="67" max="67" width="10.140625" bestFit="1" customWidth="1"/>
    <col min="68" max="68" width="15.85546875" bestFit="1" customWidth="1"/>
    <col min="69" max="69" width="16.140625" bestFit="1" customWidth="1"/>
    <col min="70" max="70" width="17.7109375" bestFit="1" customWidth="1"/>
    <col min="71" max="71" width="8.85546875" bestFit="1" customWidth="1"/>
    <col min="72" max="72" width="10.140625" bestFit="1" customWidth="1"/>
    <col min="73" max="73" width="15.85546875" bestFit="1" customWidth="1"/>
    <col min="74" max="74" width="15" bestFit="1" customWidth="1"/>
    <col min="75" max="75" width="17.7109375" bestFit="1" customWidth="1"/>
    <col min="76" max="76" width="8.85546875" bestFit="1" customWidth="1"/>
    <col min="77" max="77" width="10.140625" bestFit="1" customWidth="1"/>
    <col min="78" max="78" width="15.85546875" bestFit="1" customWidth="1"/>
    <col min="79" max="79" width="17.85546875" bestFit="1" customWidth="1"/>
    <col min="80" max="80" width="17.7109375" bestFit="1" customWidth="1"/>
    <col min="81" max="81" width="8.85546875" bestFit="1" customWidth="1"/>
    <col min="82" max="82" width="10.140625" bestFit="1" customWidth="1"/>
    <col min="83" max="83" width="15.85546875" bestFit="1" customWidth="1"/>
    <col min="84" max="84" width="12.7109375" bestFit="1" customWidth="1"/>
    <col min="85" max="85" width="9" bestFit="1" customWidth="1"/>
    <col min="86" max="86" width="17.7109375" bestFit="1" customWidth="1"/>
    <col min="87" max="87" width="8.85546875" bestFit="1" customWidth="1"/>
    <col min="88" max="88" width="10.140625" bestFit="1" customWidth="1"/>
    <col min="89" max="89" width="15.85546875" bestFit="1" customWidth="1"/>
    <col min="90" max="90" width="16.140625" bestFit="1" customWidth="1"/>
    <col min="91" max="91" width="17.7109375" bestFit="1" customWidth="1"/>
    <col min="92" max="92" width="8.85546875" bestFit="1" customWidth="1"/>
    <col min="93" max="93" width="10.140625" bestFit="1" customWidth="1"/>
    <col min="94" max="94" width="15.85546875" bestFit="1" customWidth="1"/>
    <col min="95" max="95" width="15" bestFit="1" customWidth="1"/>
    <col min="96" max="96" width="17.7109375" bestFit="1" customWidth="1"/>
    <col min="97" max="97" width="8.85546875" bestFit="1" customWidth="1"/>
    <col min="98" max="98" width="10.140625" bestFit="1" customWidth="1"/>
    <col min="99" max="99" width="15.85546875" bestFit="1" customWidth="1"/>
    <col min="100" max="100" width="17.85546875" bestFit="1" customWidth="1"/>
    <col min="101" max="101" width="17.7109375" bestFit="1" customWidth="1"/>
    <col min="102" max="102" width="8.85546875" bestFit="1" customWidth="1"/>
    <col min="103" max="103" width="10.140625" bestFit="1" customWidth="1"/>
    <col min="104" max="104" width="15.85546875" bestFit="1" customWidth="1"/>
    <col min="105" max="105" width="12.7109375" bestFit="1" customWidth="1"/>
    <col min="106" max="106" width="9.7109375" bestFit="1" customWidth="1"/>
    <col min="107" max="107" width="11.28515625" bestFit="1" customWidth="1"/>
    <col min="108" max="108" width="10.85546875" bestFit="1" customWidth="1"/>
    <col min="109" max="109" width="7.85546875" bestFit="1" customWidth="1"/>
    <col min="110" max="110" width="10.85546875" bestFit="1" customWidth="1"/>
    <col min="111" max="111" width="7.85546875" bestFit="1" customWidth="1"/>
    <col min="112" max="112" width="10.85546875" bestFit="1" customWidth="1"/>
    <col min="113" max="113" width="7.85546875" bestFit="1" customWidth="1"/>
    <col min="114" max="114" width="10.85546875" bestFit="1" customWidth="1"/>
    <col min="115" max="115" width="7.85546875" bestFit="1" customWidth="1"/>
    <col min="116" max="116" width="10.85546875" bestFit="1" customWidth="1"/>
    <col min="117" max="117" width="7.85546875" bestFit="1" customWidth="1"/>
    <col min="118" max="118" width="10.85546875" bestFit="1" customWidth="1"/>
    <col min="119" max="119" width="7.85546875" bestFit="1" customWidth="1"/>
    <col min="120" max="120" width="10.85546875" bestFit="1" customWidth="1"/>
    <col min="121" max="121" width="7.85546875" bestFit="1" customWidth="1"/>
    <col min="122" max="122" width="10.85546875" bestFit="1" customWidth="1"/>
    <col min="123" max="123" width="7.85546875" bestFit="1" customWidth="1"/>
    <col min="124" max="124" width="10.85546875" bestFit="1" customWidth="1"/>
    <col min="125" max="125" width="7.85546875" bestFit="1" customWidth="1"/>
    <col min="126" max="126" width="10.85546875" bestFit="1" customWidth="1"/>
    <col min="127" max="127" width="7.85546875" bestFit="1" customWidth="1"/>
    <col min="128" max="128" width="10.85546875" bestFit="1" customWidth="1"/>
    <col min="129" max="129" width="7.85546875" bestFit="1" customWidth="1"/>
    <col min="130" max="130" width="10.85546875" bestFit="1" customWidth="1"/>
    <col min="131" max="131" width="7.85546875" bestFit="1" customWidth="1"/>
    <col min="132" max="132" width="10.85546875" bestFit="1" customWidth="1"/>
    <col min="133" max="133" width="7.85546875" bestFit="1" customWidth="1"/>
    <col min="134" max="134" width="10.85546875" bestFit="1" customWidth="1"/>
    <col min="135" max="135" width="7.85546875" bestFit="1" customWidth="1"/>
    <col min="136" max="136" width="10.85546875" bestFit="1" customWidth="1"/>
    <col min="137" max="137" width="7.85546875" bestFit="1" customWidth="1"/>
    <col min="138" max="138" width="10.85546875" bestFit="1" customWidth="1"/>
    <col min="139" max="139" width="7.85546875" bestFit="1" customWidth="1"/>
    <col min="140" max="140" width="10.85546875" bestFit="1" customWidth="1"/>
    <col min="141" max="141" width="7.85546875" bestFit="1" customWidth="1"/>
    <col min="142" max="142" width="10.85546875" bestFit="1" customWidth="1"/>
    <col min="143" max="143" width="7.85546875" bestFit="1" customWidth="1"/>
    <col min="144" max="144" width="10.85546875" bestFit="1" customWidth="1"/>
    <col min="145" max="145" width="7.85546875" bestFit="1" customWidth="1"/>
    <col min="146" max="146" width="10.85546875" bestFit="1" customWidth="1"/>
    <col min="147" max="147" width="7.85546875" bestFit="1" customWidth="1"/>
    <col min="148" max="148" width="10.85546875" bestFit="1" customWidth="1"/>
    <col min="149" max="149" width="7.85546875" bestFit="1" customWidth="1"/>
    <col min="150" max="150" width="10.85546875" bestFit="1" customWidth="1"/>
    <col min="151" max="151" width="7.85546875" bestFit="1" customWidth="1"/>
    <col min="152" max="152" width="10.85546875" bestFit="1" customWidth="1"/>
    <col min="153" max="153" width="7.85546875" bestFit="1" customWidth="1"/>
    <col min="154" max="154" width="10.85546875" bestFit="1" customWidth="1"/>
    <col min="155" max="155" width="7.85546875" bestFit="1" customWidth="1"/>
    <col min="156" max="156" width="10.85546875" bestFit="1" customWidth="1"/>
    <col min="157" max="157" width="7.85546875" bestFit="1" customWidth="1"/>
    <col min="158" max="158" width="10.85546875" bestFit="1" customWidth="1"/>
    <col min="159" max="159" width="7.85546875" bestFit="1" customWidth="1"/>
    <col min="160" max="160" width="10.85546875" bestFit="1" customWidth="1"/>
    <col min="161" max="161" width="11.28515625" bestFit="1" customWidth="1"/>
    <col min="162" max="162" width="10.85546875" bestFit="1" customWidth="1"/>
    <col min="163" max="163" width="7.85546875" bestFit="1" customWidth="1"/>
    <col min="164" max="165" width="10.85546875" bestFit="1" customWidth="1"/>
    <col min="166" max="166" width="7.85546875" bestFit="1" customWidth="1"/>
    <col min="167" max="168" width="10.85546875" bestFit="1" customWidth="1"/>
    <col min="169" max="169" width="7.85546875" bestFit="1" customWidth="1"/>
    <col min="170" max="171" width="10.85546875" bestFit="1" customWidth="1"/>
    <col min="172" max="172" width="7.85546875" bestFit="1" customWidth="1"/>
    <col min="173" max="174" width="10.85546875" bestFit="1" customWidth="1"/>
    <col min="175" max="175" width="7.85546875" bestFit="1" customWidth="1"/>
    <col min="176" max="177" width="10.85546875" bestFit="1" customWidth="1"/>
    <col min="178" max="178" width="7.85546875" bestFit="1" customWidth="1"/>
    <col min="179" max="180" width="10.85546875" bestFit="1" customWidth="1"/>
    <col min="181" max="181" width="7.85546875" bestFit="1" customWidth="1"/>
    <col min="182" max="183" width="10.85546875" bestFit="1" customWidth="1"/>
    <col min="184" max="184" width="7.85546875" bestFit="1" customWidth="1"/>
    <col min="185" max="186" width="10.85546875" bestFit="1" customWidth="1"/>
    <col min="187" max="187" width="7.85546875" bestFit="1" customWidth="1"/>
    <col min="188" max="189" width="10.85546875" bestFit="1" customWidth="1"/>
    <col min="190" max="190" width="7.85546875" bestFit="1" customWidth="1"/>
    <col min="191" max="192" width="10.85546875" bestFit="1" customWidth="1"/>
    <col min="193" max="193" width="7.85546875" bestFit="1" customWidth="1"/>
    <col min="194" max="195" width="10.85546875" bestFit="1" customWidth="1"/>
    <col min="196" max="196" width="7.85546875" bestFit="1" customWidth="1"/>
    <col min="197" max="198" width="10.85546875" bestFit="1" customWidth="1"/>
    <col min="199" max="199" width="7.85546875" bestFit="1" customWidth="1"/>
    <col min="200" max="201" width="10.85546875" bestFit="1" customWidth="1"/>
    <col min="202" max="202" width="7.85546875" bestFit="1" customWidth="1"/>
    <col min="203" max="204" width="10.85546875" bestFit="1" customWidth="1"/>
    <col min="205" max="205" width="7.85546875" bestFit="1" customWidth="1"/>
    <col min="206" max="207" width="10.85546875" bestFit="1" customWidth="1"/>
    <col min="208" max="208" width="7.85546875" bestFit="1" customWidth="1"/>
    <col min="209" max="210" width="10.85546875" bestFit="1" customWidth="1"/>
    <col min="211" max="211" width="7.85546875" bestFit="1" customWidth="1"/>
    <col min="212" max="213" width="10.85546875" bestFit="1" customWidth="1"/>
    <col min="214" max="214" width="7.85546875" bestFit="1" customWidth="1"/>
    <col min="215" max="216" width="10.85546875" bestFit="1" customWidth="1"/>
    <col min="217" max="217" width="7.85546875" bestFit="1" customWidth="1"/>
    <col min="218" max="219" width="10.85546875" bestFit="1" customWidth="1"/>
    <col min="220" max="220" width="7.85546875" bestFit="1" customWidth="1"/>
    <col min="221" max="222" width="10.85546875" bestFit="1" customWidth="1"/>
    <col min="223" max="223" width="7.85546875" bestFit="1" customWidth="1"/>
    <col min="224" max="225" width="10.85546875" bestFit="1" customWidth="1"/>
    <col min="226" max="226" width="7.85546875" bestFit="1" customWidth="1"/>
    <col min="227" max="228" width="10.85546875" bestFit="1" customWidth="1"/>
    <col min="229" max="229" width="7.85546875" bestFit="1" customWidth="1"/>
    <col min="230" max="231" width="10.85546875" bestFit="1" customWidth="1"/>
    <col min="232" max="232" width="7.85546875" bestFit="1" customWidth="1"/>
    <col min="233" max="234" width="10.85546875" bestFit="1" customWidth="1"/>
    <col min="235" max="235" width="7.85546875" bestFit="1" customWidth="1"/>
    <col min="236" max="237" width="10.85546875" bestFit="1" customWidth="1"/>
    <col min="238" max="238" width="7.85546875" bestFit="1" customWidth="1"/>
    <col min="239" max="240" width="10.85546875" bestFit="1" customWidth="1"/>
    <col min="241" max="241" width="11.28515625" bestFit="1" customWidth="1"/>
  </cols>
  <sheetData>
    <row r="4" spans="1:4" x14ac:dyDescent="0.25">
      <c r="A4" s="3" t="s">
        <v>18</v>
      </c>
      <c r="B4" t="s">
        <v>22</v>
      </c>
      <c r="C4" s="6" t="s">
        <v>23</v>
      </c>
      <c r="D4" t="s">
        <v>24</v>
      </c>
    </row>
    <row r="5" spans="1:4" x14ac:dyDescent="0.25">
      <c r="A5" s="4" t="s">
        <v>5</v>
      </c>
      <c r="B5" s="2">
        <v>196053</v>
      </c>
      <c r="C5" s="2">
        <v>199811</v>
      </c>
      <c r="D5" s="2">
        <v>-3758</v>
      </c>
    </row>
    <row r="6" spans="1:4" x14ac:dyDescent="0.25">
      <c r="A6" s="5" t="s">
        <v>15</v>
      </c>
      <c r="B6" s="2">
        <v>34959</v>
      </c>
      <c r="C6" s="2">
        <v>32131</v>
      </c>
      <c r="D6" s="2">
        <v>2828</v>
      </c>
    </row>
    <row r="7" spans="1:4" x14ac:dyDescent="0.25">
      <c r="A7" s="5" t="s">
        <v>17</v>
      </c>
      <c r="B7" s="2">
        <v>64745</v>
      </c>
      <c r="C7" s="2">
        <v>70151</v>
      </c>
      <c r="D7" s="2">
        <v>-5406</v>
      </c>
    </row>
    <row r="8" spans="1:4" x14ac:dyDescent="0.25">
      <c r="A8" s="5" t="s">
        <v>16</v>
      </c>
      <c r="B8" s="2">
        <v>45033</v>
      </c>
      <c r="C8" s="2">
        <v>43185</v>
      </c>
      <c r="D8" s="2">
        <v>1848</v>
      </c>
    </row>
    <row r="9" spans="1:4" x14ac:dyDescent="0.25">
      <c r="A9" s="5" t="s">
        <v>14</v>
      </c>
      <c r="B9" s="2">
        <v>51316</v>
      </c>
      <c r="C9" s="2">
        <v>54344</v>
      </c>
      <c r="D9" s="2">
        <v>-3028</v>
      </c>
    </row>
    <row r="10" spans="1:4" x14ac:dyDescent="0.25">
      <c r="A10" s="4" t="s">
        <v>6</v>
      </c>
      <c r="B10" s="2">
        <v>185673</v>
      </c>
      <c r="C10" s="2">
        <v>190766</v>
      </c>
      <c r="D10" s="2">
        <v>-5093</v>
      </c>
    </row>
    <row r="11" spans="1:4" x14ac:dyDescent="0.25">
      <c r="A11" s="5" t="s">
        <v>15</v>
      </c>
      <c r="B11" s="2">
        <v>54596</v>
      </c>
      <c r="C11" s="2">
        <v>53956</v>
      </c>
      <c r="D11" s="2">
        <v>640</v>
      </c>
    </row>
    <row r="12" spans="1:4" x14ac:dyDescent="0.25">
      <c r="A12" s="5" t="s">
        <v>17</v>
      </c>
      <c r="B12" s="2">
        <v>37640</v>
      </c>
      <c r="C12" s="2">
        <v>42651</v>
      </c>
      <c r="D12" s="2">
        <v>-5011</v>
      </c>
    </row>
    <row r="13" spans="1:4" x14ac:dyDescent="0.25">
      <c r="A13" s="5" t="s">
        <v>16</v>
      </c>
      <c r="B13" s="2">
        <v>45585</v>
      </c>
      <c r="C13" s="2">
        <v>44493</v>
      </c>
      <c r="D13" s="2">
        <v>1092</v>
      </c>
    </row>
    <row r="14" spans="1:4" x14ac:dyDescent="0.25">
      <c r="A14" s="5" t="s">
        <v>14</v>
      </c>
      <c r="B14" s="2">
        <v>47852</v>
      </c>
      <c r="C14" s="2">
        <v>49666</v>
      </c>
      <c r="D14" s="2">
        <v>-1814</v>
      </c>
    </row>
    <row r="15" spans="1:4" x14ac:dyDescent="0.25">
      <c r="A15" s="4" t="s">
        <v>7</v>
      </c>
      <c r="B15" s="2">
        <v>229081</v>
      </c>
      <c r="C15" s="2">
        <v>227420</v>
      </c>
      <c r="D15" s="2">
        <v>1661</v>
      </c>
    </row>
    <row r="16" spans="1:4" x14ac:dyDescent="0.25">
      <c r="A16" s="5" t="s">
        <v>15</v>
      </c>
      <c r="B16" s="2">
        <v>60896</v>
      </c>
      <c r="C16" s="2">
        <v>62626</v>
      </c>
      <c r="D16" s="2">
        <v>-1730</v>
      </c>
    </row>
    <row r="17" spans="1:4" x14ac:dyDescent="0.25">
      <c r="A17" s="5" t="s">
        <v>17</v>
      </c>
      <c r="B17" s="2">
        <v>55310</v>
      </c>
      <c r="C17" s="2">
        <v>52177</v>
      </c>
      <c r="D17" s="2">
        <v>3133</v>
      </c>
    </row>
    <row r="18" spans="1:4" x14ac:dyDescent="0.25">
      <c r="A18" s="5" t="s">
        <v>16</v>
      </c>
      <c r="B18" s="2">
        <v>50193</v>
      </c>
      <c r="C18" s="2">
        <v>50539</v>
      </c>
      <c r="D18" s="2">
        <v>-346</v>
      </c>
    </row>
    <row r="19" spans="1:4" x14ac:dyDescent="0.25">
      <c r="A19" s="5" t="s">
        <v>14</v>
      </c>
      <c r="B19" s="2">
        <v>62682</v>
      </c>
      <c r="C19" s="2">
        <v>62078</v>
      </c>
      <c r="D19" s="2">
        <v>604</v>
      </c>
    </row>
    <row r="20" spans="1:4" x14ac:dyDescent="0.25">
      <c r="A20" s="4" t="s">
        <v>8</v>
      </c>
      <c r="B20" s="2">
        <v>214586</v>
      </c>
      <c r="C20" s="2">
        <v>216674</v>
      </c>
      <c r="D20" s="2">
        <v>-2088</v>
      </c>
    </row>
    <row r="21" spans="1:4" x14ac:dyDescent="0.25">
      <c r="A21" s="5" t="s">
        <v>15</v>
      </c>
      <c r="B21" s="2">
        <v>44626</v>
      </c>
      <c r="C21" s="2">
        <v>46415</v>
      </c>
      <c r="D21" s="2">
        <v>-1789</v>
      </c>
    </row>
    <row r="22" spans="1:4" x14ac:dyDescent="0.25">
      <c r="A22" s="5" t="s">
        <v>17</v>
      </c>
      <c r="B22" s="2">
        <v>52097</v>
      </c>
      <c r="C22" s="2">
        <v>53775</v>
      </c>
      <c r="D22" s="2">
        <v>-1678</v>
      </c>
    </row>
    <row r="23" spans="1:4" x14ac:dyDescent="0.25">
      <c r="A23" s="5" t="s">
        <v>16</v>
      </c>
      <c r="B23" s="2">
        <v>59263</v>
      </c>
      <c r="C23" s="2">
        <v>54903</v>
      </c>
      <c r="D23" s="2">
        <v>4360</v>
      </c>
    </row>
    <row r="24" spans="1:4" x14ac:dyDescent="0.25">
      <c r="A24" s="5" t="s">
        <v>14</v>
      </c>
      <c r="B24" s="2">
        <v>58600</v>
      </c>
      <c r="C24" s="2">
        <v>61581</v>
      </c>
      <c r="D24" s="2">
        <v>-2981</v>
      </c>
    </row>
    <row r="25" spans="1:4" x14ac:dyDescent="0.25">
      <c r="A25" s="4" t="s">
        <v>9</v>
      </c>
      <c r="B25" s="2">
        <v>193992</v>
      </c>
      <c r="C25" s="2">
        <v>195885</v>
      </c>
      <c r="D25" s="2">
        <v>-1893</v>
      </c>
    </row>
    <row r="26" spans="1:4" x14ac:dyDescent="0.25">
      <c r="A26" s="5" t="s">
        <v>15</v>
      </c>
      <c r="B26" s="2">
        <v>50653</v>
      </c>
      <c r="C26" s="2">
        <v>50293</v>
      </c>
      <c r="D26" s="2">
        <v>360</v>
      </c>
    </row>
    <row r="27" spans="1:4" x14ac:dyDescent="0.25">
      <c r="A27" s="5" t="s">
        <v>17</v>
      </c>
      <c r="B27" s="2">
        <v>45773</v>
      </c>
      <c r="C27" s="2">
        <v>45500</v>
      </c>
      <c r="D27" s="2">
        <v>273</v>
      </c>
    </row>
    <row r="28" spans="1:4" x14ac:dyDescent="0.25">
      <c r="A28" s="5" t="s">
        <v>16</v>
      </c>
      <c r="B28" s="2">
        <v>53307</v>
      </c>
      <c r="C28" s="2">
        <v>53737</v>
      </c>
      <c r="D28" s="2">
        <v>-430</v>
      </c>
    </row>
    <row r="29" spans="1:4" x14ac:dyDescent="0.25">
      <c r="A29" s="5" t="s">
        <v>14</v>
      </c>
      <c r="B29" s="2">
        <v>44259</v>
      </c>
      <c r="C29" s="2">
        <v>46355</v>
      </c>
      <c r="D29" s="2">
        <v>-2096</v>
      </c>
    </row>
    <row r="30" spans="1:4" x14ac:dyDescent="0.25">
      <c r="A30" s="4" t="s">
        <v>19</v>
      </c>
      <c r="B30" s="2">
        <v>1019385</v>
      </c>
      <c r="C30" s="2">
        <v>1030556</v>
      </c>
      <c r="D30" s="2">
        <v>-11171</v>
      </c>
    </row>
    <row r="39" spans="1:3" x14ac:dyDescent="0.25">
      <c r="A39" s="3" t="s">
        <v>18</v>
      </c>
      <c r="B39" t="s">
        <v>20</v>
      </c>
      <c r="C39" t="s">
        <v>21</v>
      </c>
    </row>
    <row r="40" spans="1:3" x14ac:dyDescent="0.25">
      <c r="A40" s="4" t="s">
        <v>5</v>
      </c>
      <c r="B40" s="2">
        <v>196053</v>
      </c>
      <c r="C40" s="2">
        <v>199811</v>
      </c>
    </row>
    <row r="41" spans="1:3" x14ac:dyDescent="0.25">
      <c r="A41" s="4" t="s">
        <v>6</v>
      </c>
      <c r="B41" s="2">
        <v>185673</v>
      </c>
      <c r="C41" s="2">
        <v>190766</v>
      </c>
    </row>
    <row r="42" spans="1:3" x14ac:dyDescent="0.25">
      <c r="A42" s="4" t="s">
        <v>7</v>
      </c>
      <c r="B42" s="2">
        <v>229081</v>
      </c>
      <c r="C42" s="2">
        <v>227420</v>
      </c>
    </row>
    <row r="43" spans="1:3" x14ac:dyDescent="0.25">
      <c r="A43" s="4" t="s">
        <v>8</v>
      </c>
      <c r="B43" s="2">
        <v>214586</v>
      </c>
      <c r="C43" s="2">
        <v>216674</v>
      </c>
    </row>
    <row r="44" spans="1:3" x14ac:dyDescent="0.25">
      <c r="A44" s="4" t="s">
        <v>9</v>
      </c>
      <c r="B44" s="2">
        <v>193992</v>
      </c>
      <c r="C44" s="2">
        <v>195885</v>
      </c>
    </row>
    <row r="45" spans="1:3" x14ac:dyDescent="0.25">
      <c r="A45" s="4" t="s">
        <v>19</v>
      </c>
      <c r="B45" s="2">
        <v>1019385</v>
      </c>
      <c r="C45" s="2">
        <v>1030556</v>
      </c>
    </row>
  </sheetData>
  <conditionalFormatting pivot="1" sqref="D5:D30">
    <cfRule type="cellIs" dxfId="17" priority="2" operator="greaterThan">
      <formula>0</formula>
    </cfRule>
  </conditionalFormatting>
  <conditionalFormatting pivot="1" sqref="D5:D30">
    <cfRule type="cellIs" dxfId="16" priority="1" operator="lessThan">
      <formula>0</formula>
    </cfRule>
  </conditionalFormatting>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1"/>
  <sheetViews>
    <sheetView topLeftCell="A2" workbookViewId="0">
      <selection activeCell="D12" sqref="D12"/>
    </sheetView>
  </sheetViews>
  <sheetFormatPr defaultRowHeight="15" x14ac:dyDescent="0.25"/>
  <cols>
    <col min="1" max="1" width="9.140625" customWidth="1"/>
    <col min="2" max="2" width="17.7109375" bestFit="1" customWidth="1"/>
    <col min="3" max="3" width="12.5703125" bestFit="1" customWidth="1"/>
    <col min="4" max="4" width="9.42578125" customWidth="1"/>
    <col min="5" max="5" width="8.7109375" customWidth="1"/>
  </cols>
  <sheetData>
    <row r="1" spans="1:5" x14ac:dyDescent="0.25">
      <c r="A1" s="1" t="s">
        <v>0</v>
      </c>
      <c r="B1" s="1" t="s">
        <v>1</v>
      </c>
      <c r="C1" s="1" t="s">
        <v>2</v>
      </c>
      <c r="D1" s="1" t="s">
        <v>3</v>
      </c>
      <c r="E1" s="1" t="s">
        <v>4</v>
      </c>
    </row>
    <row r="2" spans="1:5" x14ac:dyDescent="0.25">
      <c r="A2" t="s">
        <v>5</v>
      </c>
      <c r="B2" t="s">
        <v>10</v>
      </c>
      <c r="C2" t="s">
        <v>14</v>
      </c>
      <c r="D2">
        <v>12270</v>
      </c>
      <c r="E2">
        <v>13777</v>
      </c>
    </row>
    <row r="3" spans="1:5" x14ac:dyDescent="0.25">
      <c r="A3" t="s">
        <v>5</v>
      </c>
      <c r="B3" t="s">
        <v>10</v>
      </c>
      <c r="C3" t="s">
        <v>15</v>
      </c>
      <c r="D3">
        <v>5860</v>
      </c>
      <c r="E3">
        <v>5154</v>
      </c>
    </row>
    <row r="4" spans="1:5" x14ac:dyDescent="0.25">
      <c r="A4" t="s">
        <v>5</v>
      </c>
      <c r="B4" t="s">
        <v>10</v>
      </c>
      <c r="C4" t="s">
        <v>16</v>
      </c>
      <c r="D4">
        <v>18418</v>
      </c>
      <c r="E4">
        <v>17513</v>
      </c>
    </row>
    <row r="5" spans="1:5" x14ac:dyDescent="0.25">
      <c r="A5" t="s">
        <v>5</v>
      </c>
      <c r="B5" t="s">
        <v>10</v>
      </c>
      <c r="C5" t="s">
        <v>17</v>
      </c>
      <c r="D5">
        <v>16964</v>
      </c>
      <c r="E5">
        <v>18056</v>
      </c>
    </row>
    <row r="6" spans="1:5" x14ac:dyDescent="0.25">
      <c r="A6" t="s">
        <v>5</v>
      </c>
      <c r="B6" t="s">
        <v>11</v>
      </c>
      <c r="C6" t="s">
        <v>14</v>
      </c>
      <c r="D6">
        <v>10734</v>
      </c>
      <c r="E6">
        <v>10903</v>
      </c>
    </row>
    <row r="7" spans="1:5" x14ac:dyDescent="0.25">
      <c r="A7" t="s">
        <v>5</v>
      </c>
      <c r="B7" t="s">
        <v>11</v>
      </c>
      <c r="C7" t="s">
        <v>15</v>
      </c>
      <c r="D7">
        <v>5466</v>
      </c>
      <c r="E7">
        <v>4704</v>
      </c>
    </row>
    <row r="8" spans="1:5" x14ac:dyDescent="0.25">
      <c r="A8" t="s">
        <v>5</v>
      </c>
      <c r="B8" t="s">
        <v>11</v>
      </c>
      <c r="C8" t="s">
        <v>16</v>
      </c>
      <c r="D8">
        <v>9426</v>
      </c>
      <c r="E8">
        <v>8908</v>
      </c>
    </row>
    <row r="9" spans="1:5" x14ac:dyDescent="0.25">
      <c r="A9" t="s">
        <v>5</v>
      </c>
      <c r="B9" t="s">
        <v>11</v>
      </c>
      <c r="C9" t="s">
        <v>17</v>
      </c>
      <c r="D9">
        <v>19423</v>
      </c>
      <c r="E9">
        <v>20867</v>
      </c>
    </row>
    <row r="10" spans="1:5" x14ac:dyDescent="0.25">
      <c r="A10" t="s">
        <v>5</v>
      </c>
      <c r="B10" t="s">
        <v>12</v>
      </c>
      <c r="C10" t="s">
        <v>14</v>
      </c>
      <c r="D10">
        <v>16363</v>
      </c>
      <c r="E10">
        <v>17282</v>
      </c>
    </row>
    <row r="11" spans="1:5" x14ac:dyDescent="0.25">
      <c r="A11" t="s">
        <v>5</v>
      </c>
      <c r="B11" t="s">
        <v>12</v>
      </c>
      <c r="C11" t="s">
        <v>15</v>
      </c>
      <c r="D11">
        <v>13322</v>
      </c>
      <c r="E11">
        <v>13007</v>
      </c>
    </row>
    <row r="12" spans="1:5" x14ac:dyDescent="0.25">
      <c r="A12" t="s">
        <v>5</v>
      </c>
      <c r="B12" t="s">
        <v>12</v>
      </c>
      <c r="C12" t="s">
        <v>16</v>
      </c>
      <c r="D12">
        <v>5769</v>
      </c>
      <c r="E12">
        <v>6160</v>
      </c>
    </row>
    <row r="13" spans="1:5" x14ac:dyDescent="0.25">
      <c r="A13" t="s">
        <v>5</v>
      </c>
      <c r="B13" t="s">
        <v>12</v>
      </c>
      <c r="C13" t="s">
        <v>17</v>
      </c>
      <c r="D13">
        <v>18803</v>
      </c>
      <c r="E13">
        <v>20288</v>
      </c>
    </row>
    <row r="14" spans="1:5" x14ac:dyDescent="0.25">
      <c r="A14" t="s">
        <v>5</v>
      </c>
      <c r="B14" t="s">
        <v>13</v>
      </c>
      <c r="C14" t="s">
        <v>14</v>
      </c>
      <c r="D14">
        <v>11949</v>
      </c>
      <c r="E14">
        <v>12382</v>
      </c>
    </row>
    <row r="15" spans="1:5" x14ac:dyDescent="0.25">
      <c r="A15" t="s">
        <v>5</v>
      </c>
      <c r="B15" t="s">
        <v>13</v>
      </c>
      <c r="C15" t="s">
        <v>15</v>
      </c>
      <c r="D15">
        <v>10311</v>
      </c>
      <c r="E15">
        <v>9266</v>
      </c>
    </row>
    <row r="16" spans="1:5" x14ac:dyDescent="0.25">
      <c r="A16" t="s">
        <v>5</v>
      </c>
      <c r="B16" t="s">
        <v>13</v>
      </c>
      <c r="C16" t="s">
        <v>16</v>
      </c>
      <c r="D16">
        <v>11420</v>
      </c>
      <c r="E16">
        <v>10604</v>
      </c>
    </row>
    <row r="17" spans="1:5" x14ac:dyDescent="0.25">
      <c r="A17" t="s">
        <v>5</v>
      </c>
      <c r="B17" t="s">
        <v>13</v>
      </c>
      <c r="C17" t="s">
        <v>17</v>
      </c>
      <c r="D17">
        <v>9555</v>
      </c>
      <c r="E17">
        <v>10940</v>
      </c>
    </row>
    <row r="18" spans="1:5" x14ac:dyDescent="0.25">
      <c r="A18" t="s">
        <v>6</v>
      </c>
      <c r="B18" t="s">
        <v>10</v>
      </c>
      <c r="C18" t="s">
        <v>14</v>
      </c>
      <c r="D18">
        <v>17309</v>
      </c>
      <c r="E18">
        <v>17609</v>
      </c>
    </row>
    <row r="19" spans="1:5" x14ac:dyDescent="0.25">
      <c r="A19" t="s">
        <v>6</v>
      </c>
      <c r="B19" t="s">
        <v>10</v>
      </c>
      <c r="C19" t="s">
        <v>15</v>
      </c>
      <c r="D19">
        <v>18035</v>
      </c>
      <c r="E19">
        <v>18939</v>
      </c>
    </row>
    <row r="20" spans="1:5" x14ac:dyDescent="0.25">
      <c r="A20" t="s">
        <v>6</v>
      </c>
      <c r="B20" t="s">
        <v>10</v>
      </c>
      <c r="C20" t="s">
        <v>16</v>
      </c>
      <c r="D20">
        <v>13666</v>
      </c>
      <c r="E20">
        <v>12748</v>
      </c>
    </row>
    <row r="21" spans="1:5" x14ac:dyDescent="0.25">
      <c r="A21" t="s">
        <v>6</v>
      </c>
      <c r="B21" t="s">
        <v>10</v>
      </c>
      <c r="C21" t="s">
        <v>17</v>
      </c>
      <c r="D21">
        <v>7558</v>
      </c>
      <c r="E21">
        <v>9311</v>
      </c>
    </row>
    <row r="22" spans="1:5" x14ac:dyDescent="0.25">
      <c r="A22" t="s">
        <v>6</v>
      </c>
      <c r="B22" t="s">
        <v>11</v>
      </c>
      <c r="C22" t="s">
        <v>14</v>
      </c>
      <c r="D22">
        <v>7047</v>
      </c>
      <c r="E22">
        <v>8594</v>
      </c>
    </row>
    <row r="23" spans="1:5" x14ac:dyDescent="0.25">
      <c r="A23" t="s">
        <v>6</v>
      </c>
      <c r="B23" t="s">
        <v>11</v>
      </c>
      <c r="C23" t="s">
        <v>15</v>
      </c>
      <c r="D23">
        <v>7747</v>
      </c>
      <c r="E23">
        <v>6722</v>
      </c>
    </row>
    <row r="24" spans="1:5" x14ac:dyDescent="0.25">
      <c r="A24" t="s">
        <v>6</v>
      </c>
      <c r="B24" t="s">
        <v>11</v>
      </c>
      <c r="C24" t="s">
        <v>16</v>
      </c>
      <c r="D24">
        <v>14998</v>
      </c>
      <c r="E24">
        <v>13187</v>
      </c>
    </row>
    <row r="25" spans="1:5" x14ac:dyDescent="0.25">
      <c r="A25" t="s">
        <v>6</v>
      </c>
      <c r="B25" t="s">
        <v>11</v>
      </c>
      <c r="C25" t="s">
        <v>17</v>
      </c>
      <c r="D25">
        <v>7734</v>
      </c>
      <c r="E25">
        <v>8739</v>
      </c>
    </row>
    <row r="26" spans="1:5" x14ac:dyDescent="0.25">
      <c r="A26" t="s">
        <v>6</v>
      </c>
      <c r="B26" t="s">
        <v>12</v>
      </c>
      <c r="C26" t="s">
        <v>14</v>
      </c>
      <c r="D26">
        <v>9658</v>
      </c>
      <c r="E26">
        <v>9557</v>
      </c>
    </row>
    <row r="27" spans="1:5" x14ac:dyDescent="0.25">
      <c r="A27" t="s">
        <v>6</v>
      </c>
      <c r="B27" t="s">
        <v>12</v>
      </c>
      <c r="C27" t="s">
        <v>15</v>
      </c>
      <c r="D27">
        <v>12734</v>
      </c>
      <c r="E27">
        <v>12001</v>
      </c>
    </row>
    <row r="28" spans="1:5" x14ac:dyDescent="0.25">
      <c r="A28" t="s">
        <v>6</v>
      </c>
      <c r="B28" t="s">
        <v>12</v>
      </c>
      <c r="C28" t="s">
        <v>16</v>
      </c>
      <c r="D28">
        <v>6528</v>
      </c>
      <c r="E28">
        <v>7730</v>
      </c>
    </row>
    <row r="29" spans="1:5" x14ac:dyDescent="0.25">
      <c r="A29" t="s">
        <v>6</v>
      </c>
      <c r="B29" t="s">
        <v>12</v>
      </c>
      <c r="C29" t="s">
        <v>17</v>
      </c>
      <c r="D29">
        <v>8556</v>
      </c>
      <c r="E29">
        <v>10446</v>
      </c>
    </row>
    <row r="30" spans="1:5" x14ac:dyDescent="0.25">
      <c r="A30" t="s">
        <v>6</v>
      </c>
      <c r="B30" t="s">
        <v>13</v>
      </c>
      <c r="C30" t="s">
        <v>14</v>
      </c>
      <c r="D30">
        <v>13838</v>
      </c>
      <c r="E30">
        <v>13906</v>
      </c>
    </row>
    <row r="31" spans="1:5" x14ac:dyDescent="0.25">
      <c r="A31" t="s">
        <v>6</v>
      </c>
      <c r="B31" t="s">
        <v>13</v>
      </c>
      <c r="C31" t="s">
        <v>15</v>
      </c>
      <c r="D31">
        <v>16080</v>
      </c>
      <c r="E31">
        <v>16294</v>
      </c>
    </row>
    <row r="32" spans="1:5" x14ac:dyDescent="0.25">
      <c r="A32" t="s">
        <v>6</v>
      </c>
      <c r="B32" t="s">
        <v>13</v>
      </c>
      <c r="C32" t="s">
        <v>16</v>
      </c>
      <c r="D32">
        <v>10393</v>
      </c>
      <c r="E32">
        <v>10828</v>
      </c>
    </row>
    <row r="33" spans="1:5" x14ac:dyDescent="0.25">
      <c r="A33" t="s">
        <v>6</v>
      </c>
      <c r="B33" t="s">
        <v>13</v>
      </c>
      <c r="C33" t="s">
        <v>17</v>
      </c>
      <c r="D33">
        <v>13792</v>
      </c>
      <c r="E33">
        <v>14155</v>
      </c>
    </row>
    <row r="34" spans="1:5" x14ac:dyDescent="0.25">
      <c r="A34" t="s">
        <v>7</v>
      </c>
      <c r="B34" t="s">
        <v>10</v>
      </c>
      <c r="C34" t="s">
        <v>14</v>
      </c>
      <c r="D34">
        <v>15253</v>
      </c>
      <c r="E34">
        <v>13494</v>
      </c>
    </row>
    <row r="35" spans="1:5" x14ac:dyDescent="0.25">
      <c r="A35" t="s">
        <v>7</v>
      </c>
      <c r="B35" t="s">
        <v>10</v>
      </c>
      <c r="C35" t="s">
        <v>15</v>
      </c>
      <c r="D35">
        <v>15233</v>
      </c>
      <c r="E35">
        <v>16057</v>
      </c>
    </row>
    <row r="36" spans="1:5" x14ac:dyDescent="0.25">
      <c r="A36" t="s">
        <v>7</v>
      </c>
      <c r="B36" t="s">
        <v>10</v>
      </c>
      <c r="C36" t="s">
        <v>16</v>
      </c>
      <c r="D36">
        <v>12513</v>
      </c>
      <c r="E36">
        <v>13125</v>
      </c>
    </row>
    <row r="37" spans="1:5" x14ac:dyDescent="0.25">
      <c r="A37" t="s">
        <v>7</v>
      </c>
      <c r="B37" t="s">
        <v>10</v>
      </c>
      <c r="C37" t="s">
        <v>17</v>
      </c>
      <c r="D37">
        <v>12041</v>
      </c>
      <c r="E37">
        <v>11404</v>
      </c>
    </row>
    <row r="38" spans="1:5" x14ac:dyDescent="0.25">
      <c r="A38" t="s">
        <v>7</v>
      </c>
      <c r="B38" t="s">
        <v>11</v>
      </c>
      <c r="C38" t="s">
        <v>14</v>
      </c>
      <c r="D38">
        <v>11235</v>
      </c>
      <c r="E38">
        <v>10625</v>
      </c>
    </row>
    <row r="39" spans="1:5" x14ac:dyDescent="0.25">
      <c r="A39" t="s">
        <v>7</v>
      </c>
      <c r="B39" t="s">
        <v>11</v>
      </c>
      <c r="C39" t="s">
        <v>15</v>
      </c>
      <c r="D39">
        <v>12099</v>
      </c>
      <c r="E39">
        <v>11577</v>
      </c>
    </row>
    <row r="40" spans="1:5" x14ac:dyDescent="0.25">
      <c r="A40" t="s">
        <v>7</v>
      </c>
      <c r="B40" t="s">
        <v>11</v>
      </c>
      <c r="C40" t="s">
        <v>16</v>
      </c>
      <c r="D40">
        <v>15748</v>
      </c>
      <c r="E40">
        <v>14523</v>
      </c>
    </row>
    <row r="41" spans="1:5" x14ac:dyDescent="0.25">
      <c r="A41" t="s">
        <v>7</v>
      </c>
      <c r="B41" t="s">
        <v>11</v>
      </c>
      <c r="C41" t="s">
        <v>17</v>
      </c>
      <c r="D41">
        <v>17206</v>
      </c>
      <c r="E41">
        <v>15240</v>
      </c>
    </row>
    <row r="42" spans="1:5" x14ac:dyDescent="0.25">
      <c r="A42" t="s">
        <v>7</v>
      </c>
      <c r="B42" t="s">
        <v>12</v>
      </c>
      <c r="C42" t="s">
        <v>14</v>
      </c>
      <c r="D42">
        <v>19541</v>
      </c>
      <c r="E42">
        <v>20693</v>
      </c>
    </row>
    <row r="43" spans="1:5" x14ac:dyDescent="0.25">
      <c r="A43" t="s">
        <v>7</v>
      </c>
      <c r="B43" t="s">
        <v>12</v>
      </c>
      <c r="C43" t="s">
        <v>15</v>
      </c>
      <c r="D43">
        <v>15147</v>
      </c>
      <c r="E43">
        <v>14732</v>
      </c>
    </row>
    <row r="44" spans="1:5" x14ac:dyDescent="0.25">
      <c r="A44" t="s">
        <v>7</v>
      </c>
      <c r="B44" t="s">
        <v>12</v>
      </c>
      <c r="C44" t="s">
        <v>16</v>
      </c>
      <c r="D44">
        <v>8943</v>
      </c>
      <c r="E44">
        <v>10402</v>
      </c>
    </row>
    <row r="45" spans="1:5" x14ac:dyDescent="0.25">
      <c r="A45" t="s">
        <v>7</v>
      </c>
      <c r="B45" t="s">
        <v>12</v>
      </c>
      <c r="C45" t="s">
        <v>17</v>
      </c>
      <c r="D45">
        <v>8073</v>
      </c>
      <c r="E45">
        <v>7094</v>
      </c>
    </row>
    <row r="46" spans="1:5" x14ac:dyDescent="0.25">
      <c r="A46" t="s">
        <v>7</v>
      </c>
      <c r="B46" t="s">
        <v>13</v>
      </c>
      <c r="C46" t="s">
        <v>14</v>
      </c>
      <c r="D46">
        <v>16653</v>
      </c>
      <c r="E46">
        <v>17266</v>
      </c>
    </row>
    <row r="47" spans="1:5" x14ac:dyDescent="0.25">
      <c r="A47" t="s">
        <v>7</v>
      </c>
      <c r="B47" t="s">
        <v>13</v>
      </c>
      <c r="C47" t="s">
        <v>15</v>
      </c>
      <c r="D47">
        <v>18417</v>
      </c>
      <c r="E47">
        <v>20260</v>
      </c>
    </row>
    <row r="48" spans="1:5" x14ac:dyDescent="0.25">
      <c r="A48" t="s">
        <v>7</v>
      </c>
      <c r="B48" t="s">
        <v>13</v>
      </c>
      <c r="C48" t="s">
        <v>16</v>
      </c>
      <c r="D48">
        <v>12989</v>
      </c>
      <c r="E48">
        <v>12489</v>
      </c>
    </row>
    <row r="49" spans="1:5" x14ac:dyDescent="0.25">
      <c r="A49" t="s">
        <v>7</v>
      </c>
      <c r="B49" t="s">
        <v>13</v>
      </c>
      <c r="C49" t="s">
        <v>17</v>
      </c>
      <c r="D49">
        <v>17990</v>
      </c>
      <c r="E49">
        <v>18439</v>
      </c>
    </row>
    <row r="50" spans="1:5" x14ac:dyDescent="0.25">
      <c r="A50" t="s">
        <v>8</v>
      </c>
      <c r="B50" t="s">
        <v>10</v>
      </c>
      <c r="C50" t="s">
        <v>14</v>
      </c>
      <c r="D50">
        <v>11873</v>
      </c>
      <c r="E50">
        <v>11452</v>
      </c>
    </row>
    <row r="51" spans="1:5" x14ac:dyDescent="0.25">
      <c r="A51" t="s">
        <v>8</v>
      </c>
      <c r="B51" t="s">
        <v>10</v>
      </c>
      <c r="C51" t="s">
        <v>15</v>
      </c>
      <c r="D51">
        <v>5161</v>
      </c>
      <c r="E51">
        <v>3362</v>
      </c>
    </row>
    <row r="52" spans="1:5" x14ac:dyDescent="0.25">
      <c r="A52" t="s">
        <v>8</v>
      </c>
      <c r="B52" t="s">
        <v>10</v>
      </c>
      <c r="C52" t="s">
        <v>16</v>
      </c>
      <c r="D52">
        <v>15173</v>
      </c>
      <c r="E52">
        <v>14168</v>
      </c>
    </row>
    <row r="53" spans="1:5" x14ac:dyDescent="0.25">
      <c r="A53" t="s">
        <v>8</v>
      </c>
      <c r="B53" t="s">
        <v>10</v>
      </c>
      <c r="C53" t="s">
        <v>17</v>
      </c>
      <c r="D53">
        <v>19605</v>
      </c>
      <c r="E53">
        <v>21539</v>
      </c>
    </row>
    <row r="54" spans="1:5" x14ac:dyDescent="0.25">
      <c r="A54" t="s">
        <v>8</v>
      </c>
      <c r="B54" t="s">
        <v>11</v>
      </c>
      <c r="C54" t="s">
        <v>14</v>
      </c>
      <c r="D54">
        <v>18103</v>
      </c>
      <c r="E54">
        <v>19445</v>
      </c>
    </row>
    <row r="55" spans="1:5" x14ac:dyDescent="0.25">
      <c r="A55" t="s">
        <v>8</v>
      </c>
      <c r="B55" t="s">
        <v>11</v>
      </c>
      <c r="C55" t="s">
        <v>15</v>
      </c>
      <c r="D55">
        <v>17743</v>
      </c>
      <c r="E55">
        <v>19276</v>
      </c>
    </row>
    <row r="56" spans="1:5" x14ac:dyDescent="0.25">
      <c r="A56" t="s">
        <v>8</v>
      </c>
      <c r="B56" t="s">
        <v>11</v>
      </c>
      <c r="C56" t="s">
        <v>16</v>
      </c>
      <c r="D56">
        <v>16990</v>
      </c>
      <c r="E56">
        <v>16265</v>
      </c>
    </row>
    <row r="57" spans="1:5" x14ac:dyDescent="0.25">
      <c r="A57" t="s">
        <v>8</v>
      </c>
      <c r="B57" t="s">
        <v>11</v>
      </c>
      <c r="C57" t="s">
        <v>17</v>
      </c>
      <c r="D57">
        <v>6016</v>
      </c>
      <c r="E57">
        <v>7789</v>
      </c>
    </row>
    <row r="58" spans="1:5" x14ac:dyDescent="0.25">
      <c r="A58" t="s">
        <v>8</v>
      </c>
      <c r="B58" t="s">
        <v>12</v>
      </c>
      <c r="C58" t="s">
        <v>14</v>
      </c>
      <c r="D58">
        <v>11439</v>
      </c>
      <c r="E58">
        <v>13235</v>
      </c>
    </row>
    <row r="59" spans="1:5" x14ac:dyDescent="0.25">
      <c r="A59" t="s">
        <v>8</v>
      </c>
      <c r="B59" t="s">
        <v>12</v>
      </c>
      <c r="C59" t="s">
        <v>15</v>
      </c>
      <c r="D59">
        <v>11863</v>
      </c>
      <c r="E59">
        <v>13683</v>
      </c>
    </row>
    <row r="60" spans="1:5" x14ac:dyDescent="0.25">
      <c r="A60" t="s">
        <v>8</v>
      </c>
      <c r="B60" t="s">
        <v>12</v>
      </c>
      <c r="C60" t="s">
        <v>16</v>
      </c>
      <c r="D60">
        <v>13529</v>
      </c>
      <c r="E60">
        <v>12407</v>
      </c>
    </row>
    <row r="61" spans="1:5" x14ac:dyDescent="0.25">
      <c r="A61" t="s">
        <v>8</v>
      </c>
      <c r="B61" t="s">
        <v>12</v>
      </c>
      <c r="C61" t="s">
        <v>17</v>
      </c>
      <c r="D61">
        <v>14268</v>
      </c>
      <c r="E61">
        <v>13059</v>
      </c>
    </row>
    <row r="62" spans="1:5" x14ac:dyDescent="0.25">
      <c r="A62" t="s">
        <v>8</v>
      </c>
      <c r="B62" t="s">
        <v>13</v>
      </c>
      <c r="C62" t="s">
        <v>14</v>
      </c>
      <c r="D62">
        <v>17185</v>
      </c>
      <c r="E62">
        <v>17449</v>
      </c>
    </row>
    <row r="63" spans="1:5" x14ac:dyDescent="0.25">
      <c r="A63" t="s">
        <v>8</v>
      </c>
      <c r="B63" t="s">
        <v>13</v>
      </c>
      <c r="C63" t="s">
        <v>15</v>
      </c>
      <c r="D63">
        <v>9859</v>
      </c>
      <c r="E63">
        <v>10094</v>
      </c>
    </row>
    <row r="64" spans="1:5" x14ac:dyDescent="0.25">
      <c r="A64" t="s">
        <v>8</v>
      </c>
      <c r="B64" t="s">
        <v>13</v>
      </c>
      <c r="C64" t="s">
        <v>16</v>
      </c>
      <c r="D64">
        <v>13571</v>
      </c>
      <c r="E64">
        <v>12063</v>
      </c>
    </row>
    <row r="65" spans="1:5" x14ac:dyDescent="0.25">
      <c r="A65" t="s">
        <v>8</v>
      </c>
      <c r="B65" t="s">
        <v>13</v>
      </c>
      <c r="C65" t="s">
        <v>17</v>
      </c>
      <c r="D65">
        <v>12208</v>
      </c>
      <c r="E65">
        <v>11388</v>
      </c>
    </row>
    <row r="66" spans="1:5" x14ac:dyDescent="0.25">
      <c r="A66" t="s">
        <v>9</v>
      </c>
      <c r="B66" t="s">
        <v>10</v>
      </c>
      <c r="C66" t="s">
        <v>14</v>
      </c>
      <c r="D66">
        <v>7062</v>
      </c>
      <c r="E66">
        <v>8946</v>
      </c>
    </row>
    <row r="67" spans="1:5" x14ac:dyDescent="0.25">
      <c r="A67" t="s">
        <v>9</v>
      </c>
      <c r="B67" t="s">
        <v>10</v>
      </c>
      <c r="C67" t="s">
        <v>15</v>
      </c>
      <c r="D67">
        <v>5064</v>
      </c>
      <c r="E67">
        <v>6992</v>
      </c>
    </row>
    <row r="68" spans="1:5" x14ac:dyDescent="0.25">
      <c r="A68" t="s">
        <v>9</v>
      </c>
      <c r="B68" t="s">
        <v>10</v>
      </c>
      <c r="C68" t="s">
        <v>16</v>
      </c>
      <c r="D68">
        <v>13006</v>
      </c>
      <c r="E68">
        <v>13574</v>
      </c>
    </row>
    <row r="69" spans="1:5" x14ac:dyDescent="0.25">
      <c r="A69" t="s">
        <v>9</v>
      </c>
      <c r="B69" t="s">
        <v>10</v>
      </c>
      <c r="C69" t="s">
        <v>17</v>
      </c>
      <c r="D69">
        <v>10463</v>
      </c>
      <c r="E69">
        <v>9615</v>
      </c>
    </row>
    <row r="70" spans="1:5" x14ac:dyDescent="0.25">
      <c r="A70" t="s">
        <v>9</v>
      </c>
      <c r="B70" t="s">
        <v>11</v>
      </c>
      <c r="C70" t="s">
        <v>14</v>
      </c>
      <c r="D70">
        <v>7027</v>
      </c>
      <c r="E70">
        <v>7722</v>
      </c>
    </row>
    <row r="71" spans="1:5" x14ac:dyDescent="0.25">
      <c r="A71" t="s">
        <v>9</v>
      </c>
      <c r="B71" t="s">
        <v>11</v>
      </c>
      <c r="C71" t="s">
        <v>15</v>
      </c>
      <c r="D71">
        <v>14687</v>
      </c>
      <c r="E71">
        <v>15821</v>
      </c>
    </row>
    <row r="72" spans="1:5" x14ac:dyDescent="0.25">
      <c r="A72" t="s">
        <v>9</v>
      </c>
      <c r="B72" t="s">
        <v>11</v>
      </c>
      <c r="C72" t="s">
        <v>16</v>
      </c>
      <c r="D72">
        <v>10258</v>
      </c>
      <c r="E72">
        <v>9780</v>
      </c>
    </row>
    <row r="73" spans="1:5" x14ac:dyDescent="0.25">
      <c r="A73" t="s">
        <v>9</v>
      </c>
      <c r="B73" t="s">
        <v>11</v>
      </c>
      <c r="C73" t="s">
        <v>17</v>
      </c>
      <c r="D73">
        <v>11736</v>
      </c>
      <c r="E73">
        <v>10127</v>
      </c>
    </row>
    <row r="74" spans="1:5" x14ac:dyDescent="0.25">
      <c r="A74" t="s">
        <v>9</v>
      </c>
      <c r="B74" t="s">
        <v>12</v>
      </c>
      <c r="C74" t="s">
        <v>14</v>
      </c>
      <c r="D74">
        <v>18986</v>
      </c>
      <c r="E74">
        <v>17404</v>
      </c>
    </row>
    <row r="75" spans="1:5" x14ac:dyDescent="0.25">
      <c r="A75" t="s">
        <v>9</v>
      </c>
      <c r="B75" t="s">
        <v>12</v>
      </c>
      <c r="C75" t="s">
        <v>15</v>
      </c>
      <c r="D75">
        <v>19624</v>
      </c>
      <c r="E75">
        <v>18002</v>
      </c>
    </row>
    <row r="76" spans="1:5" x14ac:dyDescent="0.25">
      <c r="A76" t="s">
        <v>9</v>
      </c>
      <c r="B76" t="s">
        <v>12</v>
      </c>
      <c r="C76" t="s">
        <v>16</v>
      </c>
      <c r="D76">
        <v>10892</v>
      </c>
      <c r="E76">
        <v>12453</v>
      </c>
    </row>
    <row r="77" spans="1:5" x14ac:dyDescent="0.25">
      <c r="A77" t="s">
        <v>9</v>
      </c>
      <c r="B77" t="s">
        <v>12</v>
      </c>
      <c r="C77" t="s">
        <v>17</v>
      </c>
      <c r="D77">
        <v>15470</v>
      </c>
      <c r="E77">
        <v>16535</v>
      </c>
    </row>
    <row r="78" spans="1:5" x14ac:dyDescent="0.25">
      <c r="A78" t="s">
        <v>9</v>
      </c>
      <c r="B78" t="s">
        <v>13</v>
      </c>
      <c r="C78" t="s">
        <v>14</v>
      </c>
      <c r="D78">
        <v>11184</v>
      </c>
      <c r="E78">
        <v>12283</v>
      </c>
    </row>
    <row r="79" spans="1:5" x14ac:dyDescent="0.25">
      <c r="A79" t="s">
        <v>9</v>
      </c>
      <c r="B79" t="s">
        <v>13</v>
      </c>
      <c r="C79" t="s">
        <v>15</v>
      </c>
      <c r="D79">
        <v>11278</v>
      </c>
      <c r="E79">
        <v>9478</v>
      </c>
    </row>
    <row r="80" spans="1:5" x14ac:dyDescent="0.25">
      <c r="A80" t="s">
        <v>9</v>
      </c>
      <c r="B80" t="s">
        <v>13</v>
      </c>
      <c r="C80" t="s">
        <v>16</v>
      </c>
      <c r="D80">
        <v>19151</v>
      </c>
      <c r="E80">
        <v>17930</v>
      </c>
    </row>
    <row r="81" spans="1:5" x14ac:dyDescent="0.25">
      <c r="A81" t="s">
        <v>9</v>
      </c>
      <c r="B81" t="s">
        <v>13</v>
      </c>
      <c r="C81" t="s">
        <v>17</v>
      </c>
      <c r="D81">
        <v>8104</v>
      </c>
      <c r="E81">
        <v>9223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01CCB-F998-4D9B-9887-22C9366530F3}">
  <dimension ref="A1:F81"/>
  <sheetViews>
    <sheetView workbookViewId="0">
      <selection activeCell="I89" sqref="I89"/>
    </sheetView>
  </sheetViews>
  <sheetFormatPr defaultRowHeight="15" x14ac:dyDescent="0.25"/>
  <cols>
    <col min="2" max="2" width="17.7109375" bestFit="1" customWidth="1"/>
    <col min="3" max="3" width="12.5703125" bestFit="1" customWidth="1"/>
    <col min="4" max="4" width="9.42578125" customWidth="1"/>
    <col min="5" max="5" width="8.7109375" customWidth="1"/>
  </cols>
  <sheetData>
    <row r="1" spans="1:6" x14ac:dyDescent="0.25">
      <c r="A1" s="1" t="s">
        <v>0</v>
      </c>
      <c r="B1" s="1" t="s">
        <v>1</v>
      </c>
      <c r="C1" s="1" t="s">
        <v>2</v>
      </c>
      <c r="D1" s="1" t="s">
        <v>3</v>
      </c>
      <c r="E1" s="1" t="s">
        <v>4</v>
      </c>
      <c r="F1" s="7" t="s">
        <v>25</v>
      </c>
    </row>
    <row r="2" spans="1:6" x14ac:dyDescent="0.25">
      <c r="A2" t="s">
        <v>5</v>
      </c>
      <c r="B2" t="s">
        <v>10</v>
      </c>
      <c r="C2" t="s">
        <v>14</v>
      </c>
      <c r="D2">
        <v>12270</v>
      </c>
      <c r="E2">
        <v>13777</v>
      </c>
      <c r="F2">
        <f>SummaryTable[[#This Row],[Budget]]-SummaryTable[[#This Row],[Actual]]</f>
        <v>-1507</v>
      </c>
    </row>
    <row r="3" spans="1:6" x14ac:dyDescent="0.25">
      <c r="A3" t="s">
        <v>5</v>
      </c>
      <c r="B3" t="s">
        <v>10</v>
      </c>
      <c r="C3" t="s">
        <v>15</v>
      </c>
      <c r="D3">
        <v>5860</v>
      </c>
      <c r="E3">
        <v>5154</v>
      </c>
      <c r="F3">
        <f>SummaryTable[[#This Row],[Budget]]-SummaryTable[[#This Row],[Actual]]</f>
        <v>706</v>
      </c>
    </row>
    <row r="4" spans="1:6" x14ac:dyDescent="0.25">
      <c r="A4" t="s">
        <v>5</v>
      </c>
      <c r="B4" t="s">
        <v>10</v>
      </c>
      <c r="C4" t="s">
        <v>16</v>
      </c>
      <c r="D4">
        <v>18418</v>
      </c>
      <c r="E4">
        <v>17513</v>
      </c>
      <c r="F4">
        <f>SummaryTable[[#This Row],[Budget]]-SummaryTable[[#This Row],[Actual]]</f>
        <v>905</v>
      </c>
    </row>
    <row r="5" spans="1:6" x14ac:dyDescent="0.25">
      <c r="A5" t="s">
        <v>5</v>
      </c>
      <c r="B5" t="s">
        <v>10</v>
      </c>
      <c r="C5" t="s">
        <v>17</v>
      </c>
      <c r="D5">
        <v>16964</v>
      </c>
      <c r="E5">
        <v>18056</v>
      </c>
      <c r="F5">
        <f>SummaryTable[[#This Row],[Budget]]-SummaryTable[[#This Row],[Actual]]</f>
        <v>-1092</v>
      </c>
    </row>
    <row r="6" spans="1:6" hidden="1" x14ac:dyDescent="0.25">
      <c r="A6" t="s">
        <v>5</v>
      </c>
      <c r="B6" t="s">
        <v>11</v>
      </c>
      <c r="C6" t="s">
        <v>14</v>
      </c>
      <c r="D6">
        <v>10734</v>
      </c>
      <c r="E6">
        <v>10903</v>
      </c>
      <c r="F6">
        <f>SummaryTable[[#This Row],[Budget]]-SummaryTable[[#This Row],[Actual]]</f>
        <v>-169</v>
      </c>
    </row>
    <row r="7" spans="1:6" hidden="1" x14ac:dyDescent="0.25">
      <c r="A7" t="s">
        <v>5</v>
      </c>
      <c r="B7" t="s">
        <v>11</v>
      </c>
      <c r="C7" t="s">
        <v>15</v>
      </c>
      <c r="D7">
        <v>5466</v>
      </c>
      <c r="E7">
        <v>4704</v>
      </c>
      <c r="F7">
        <f>SummaryTable[[#This Row],[Budget]]-SummaryTable[[#This Row],[Actual]]</f>
        <v>762</v>
      </c>
    </row>
    <row r="8" spans="1:6" hidden="1" x14ac:dyDescent="0.25">
      <c r="A8" t="s">
        <v>5</v>
      </c>
      <c r="B8" t="s">
        <v>11</v>
      </c>
      <c r="C8" t="s">
        <v>16</v>
      </c>
      <c r="D8">
        <v>9426</v>
      </c>
      <c r="E8">
        <v>8908</v>
      </c>
      <c r="F8">
        <f>SummaryTable[[#This Row],[Budget]]-SummaryTable[[#This Row],[Actual]]</f>
        <v>518</v>
      </c>
    </row>
    <row r="9" spans="1:6" hidden="1" x14ac:dyDescent="0.25">
      <c r="A9" t="s">
        <v>5</v>
      </c>
      <c r="B9" t="s">
        <v>11</v>
      </c>
      <c r="C9" t="s">
        <v>17</v>
      </c>
      <c r="D9">
        <v>19423</v>
      </c>
      <c r="E9">
        <v>20867</v>
      </c>
      <c r="F9">
        <f>SummaryTable[[#This Row],[Budget]]-SummaryTable[[#This Row],[Actual]]</f>
        <v>-1444</v>
      </c>
    </row>
    <row r="10" spans="1:6" hidden="1" x14ac:dyDescent="0.25">
      <c r="A10" t="s">
        <v>5</v>
      </c>
      <c r="B10" t="s">
        <v>12</v>
      </c>
      <c r="C10" t="s">
        <v>14</v>
      </c>
      <c r="D10">
        <v>16363</v>
      </c>
      <c r="E10">
        <v>17282</v>
      </c>
      <c r="F10">
        <f>SummaryTable[[#This Row],[Budget]]-SummaryTable[[#This Row],[Actual]]</f>
        <v>-919</v>
      </c>
    </row>
    <row r="11" spans="1:6" hidden="1" x14ac:dyDescent="0.25">
      <c r="A11" t="s">
        <v>5</v>
      </c>
      <c r="B11" t="s">
        <v>12</v>
      </c>
      <c r="C11" t="s">
        <v>15</v>
      </c>
      <c r="D11">
        <v>13322</v>
      </c>
      <c r="E11">
        <v>13007</v>
      </c>
      <c r="F11">
        <f>SummaryTable[[#This Row],[Budget]]-SummaryTable[[#This Row],[Actual]]</f>
        <v>315</v>
      </c>
    </row>
    <row r="12" spans="1:6" hidden="1" x14ac:dyDescent="0.25">
      <c r="A12" t="s">
        <v>5</v>
      </c>
      <c r="B12" t="s">
        <v>12</v>
      </c>
      <c r="C12" t="s">
        <v>16</v>
      </c>
      <c r="D12">
        <v>5769</v>
      </c>
      <c r="E12">
        <v>6160</v>
      </c>
      <c r="F12">
        <f>SummaryTable[[#This Row],[Budget]]-SummaryTable[[#This Row],[Actual]]</f>
        <v>-391</v>
      </c>
    </row>
    <row r="13" spans="1:6" hidden="1" x14ac:dyDescent="0.25">
      <c r="A13" t="s">
        <v>5</v>
      </c>
      <c r="B13" t="s">
        <v>12</v>
      </c>
      <c r="C13" t="s">
        <v>17</v>
      </c>
      <c r="D13">
        <v>18803</v>
      </c>
      <c r="E13">
        <v>20288</v>
      </c>
      <c r="F13">
        <f>SummaryTable[[#This Row],[Budget]]-SummaryTable[[#This Row],[Actual]]</f>
        <v>-1485</v>
      </c>
    </row>
    <row r="14" spans="1:6" hidden="1" x14ac:dyDescent="0.25">
      <c r="A14" t="s">
        <v>5</v>
      </c>
      <c r="B14" t="s">
        <v>13</v>
      </c>
      <c r="C14" t="s">
        <v>14</v>
      </c>
      <c r="D14">
        <v>11949</v>
      </c>
      <c r="E14">
        <v>12382</v>
      </c>
      <c r="F14">
        <f>SummaryTable[[#This Row],[Budget]]-SummaryTable[[#This Row],[Actual]]</f>
        <v>-433</v>
      </c>
    </row>
    <row r="15" spans="1:6" hidden="1" x14ac:dyDescent="0.25">
      <c r="A15" t="s">
        <v>5</v>
      </c>
      <c r="B15" t="s">
        <v>13</v>
      </c>
      <c r="C15" t="s">
        <v>15</v>
      </c>
      <c r="D15">
        <v>10311</v>
      </c>
      <c r="E15">
        <v>9266</v>
      </c>
      <c r="F15">
        <f>SummaryTable[[#This Row],[Budget]]-SummaryTable[[#This Row],[Actual]]</f>
        <v>1045</v>
      </c>
    </row>
    <row r="16" spans="1:6" hidden="1" x14ac:dyDescent="0.25">
      <c r="A16" t="s">
        <v>5</v>
      </c>
      <c r="B16" t="s">
        <v>13</v>
      </c>
      <c r="C16" t="s">
        <v>16</v>
      </c>
      <c r="D16">
        <v>11420</v>
      </c>
      <c r="E16">
        <v>10604</v>
      </c>
      <c r="F16">
        <f>SummaryTable[[#This Row],[Budget]]-SummaryTable[[#This Row],[Actual]]</f>
        <v>816</v>
      </c>
    </row>
    <row r="17" spans="1:6" hidden="1" x14ac:dyDescent="0.25">
      <c r="A17" t="s">
        <v>5</v>
      </c>
      <c r="B17" t="s">
        <v>13</v>
      </c>
      <c r="C17" t="s">
        <v>17</v>
      </c>
      <c r="D17">
        <v>9555</v>
      </c>
      <c r="E17">
        <v>10940</v>
      </c>
      <c r="F17">
        <f>SummaryTable[[#This Row],[Budget]]-SummaryTable[[#This Row],[Actual]]</f>
        <v>-1385</v>
      </c>
    </row>
    <row r="18" spans="1:6" x14ac:dyDescent="0.25">
      <c r="A18" t="s">
        <v>6</v>
      </c>
      <c r="B18" t="s">
        <v>10</v>
      </c>
      <c r="C18" t="s">
        <v>14</v>
      </c>
      <c r="D18">
        <v>17309</v>
      </c>
      <c r="E18">
        <v>17609</v>
      </c>
      <c r="F18">
        <f>SummaryTable[[#This Row],[Budget]]-SummaryTable[[#This Row],[Actual]]</f>
        <v>-300</v>
      </c>
    </row>
    <row r="19" spans="1:6" x14ac:dyDescent="0.25">
      <c r="A19" t="s">
        <v>6</v>
      </c>
      <c r="B19" t="s">
        <v>10</v>
      </c>
      <c r="C19" t="s">
        <v>15</v>
      </c>
      <c r="D19">
        <v>18035</v>
      </c>
      <c r="E19">
        <v>18939</v>
      </c>
      <c r="F19">
        <f>SummaryTable[[#This Row],[Budget]]-SummaryTable[[#This Row],[Actual]]</f>
        <v>-904</v>
      </c>
    </row>
    <row r="20" spans="1:6" x14ac:dyDescent="0.25">
      <c r="A20" t="s">
        <v>6</v>
      </c>
      <c r="B20" t="s">
        <v>10</v>
      </c>
      <c r="C20" t="s">
        <v>16</v>
      </c>
      <c r="D20">
        <v>13666</v>
      </c>
      <c r="E20">
        <v>12748</v>
      </c>
      <c r="F20">
        <f>SummaryTable[[#This Row],[Budget]]-SummaryTable[[#This Row],[Actual]]</f>
        <v>918</v>
      </c>
    </row>
    <row r="21" spans="1:6" x14ac:dyDescent="0.25">
      <c r="A21" t="s">
        <v>6</v>
      </c>
      <c r="B21" t="s">
        <v>10</v>
      </c>
      <c r="C21" t="s">
        <v>17</v>
      </c>
      <c r="D21">
        <v>7558</v>
      </c>
      <c r="E21">
        <v>9311</v>
      </c>
      <c r="F21">
        <f>SummaryTable[[#This Row],[Budget]]-SummaryTable[[#This Row],[Actual]]</f>
        <v>-1753</v>
      </c>
    </row>
    <row r="22" spans="1:6" hidden="1" x14ac:dyDescent="0.25">
      <c r="A22" t="s">
        <v>6</v>
      </c>
      <c r="B22" t="s">
        <v>11</v>
      </c>
      <c r="C22" t="s">
        <v>14</v>
      </c>
      <c r="D22">
        <v>7047</v>
      </c>
      <c r="E22">
        <v>8594</v>
      </c>
      <c r="F22">
        <f>SummaryTable[[#This Row],[Budget]]-SummaryTable[[#This Row],[Actual]]</f>
        <v>-1547</v>
      </c>
    </row>
    <row r="23" spans="1:6" hidden="1" x14ac:dyDescent="0.25">
      <c r="A23" t="s">
        <v>6</v>
      </c>
      <c r="B23" t="s">
        <v>11</v>
      </c>
      <c r="C23" t="s">
        <v>15</v>
      </c>
      <c r="D23">
        <v>7747</v>
      </c>
      <c r="E23">
        <v>6722</v>
      </c>
      <c r="F23">
        <f>SummaryTable[[#This Row],[Budget]]-SummaryTable[[#This Row],[Actual]]</f>
        <v>1025</v>
      </c>
    </row>
    <row r="24" spans="1:6" hidden="1" x14ac:dyDescent="0.25">
      <c r="A24" t="s">
        <v>6</v>
      </c>
      <c r="B24" t="s">
        <v>11</v>
      </c>
      <c r="C24" t="s">
        <v>16</v>
      </c>
      <c r="D24">
        <v>14998</v>
      </c>
      <c r="E24">
        <v>13187</v>
      </c>
      <c r="F24">
        <f>SummaryTable[[#This Row],[Budget]]-SummaryTable[[#This Row],[Actual]]</f>
        <v>1811</v>
      </c>
    </row>
    <row r="25" spans="1:6" hidden="1" x14ac:dyDescent="0.25">
      <c r="A25" t="s">
        <v>6</v>
      </c>
      <c r="B25" t="s">
        <v>11</v>
      </c>
      <c r="C25" t="s">
        <v>17</v>
      </c>
      <c r="D25">
        <v>7734</v>
      </c>
      <c r="E25">
        <v>8739</v>
      </c>
      <c r="F25">
        <f>SummaryTable[[#This Row],[Budget]]-SummaryTable[[#This Row],[Actual]]</f>
        <v>-1005</v>
      </c>
    </row>
    <row r="26" spans="1:6" hidden="1" x14ac:dyDescent="0.25">
      <c r="A26" t="s">
        <v>6</v>
      </c>
      <c r="B26" t="s">
        <v>12</v>
      </c>
      <c r="C26" t="s">
        <v>14</v>
      </c>
      <c r="D26">
        <v>9658</v>
      </c>
      <c r="E26">
        <v>9557</v>
      </c>
      <c r="F26">
        <f>SummaryTable[[#This Row],[Budget]]-SummaryTable[[#This Row],[Actual]]</f>
        <v>101</v>
      </c>
    </row>
    <row r="27" spans="1:6" hidden="1" x14ac:dyDescent="0.25">
      <c r="A27" t="s">
        <v>6</v>
      </c>
      <c r="B27" t="s">
        <v>12</v>
      </c>
      <c r="C27" t="s">
        <v>15</v>
      </c>
      <c r="D27">
        <v>12734</v>
      </c>
      <c r="E27">
        <v>12001</v>
      </c>
      <c r="F27">
        <f>SummaryTable[[#This Row],[Budget]]-SummaryTable[[#This Row],[Actual]]</f>
        <v>733</v>
      </c>
    </row>
    <row r="28" spans="1:6" hidden="1" x14ac:dyDescent="0.25">
      <c r="A28" t="s">
        <v>6</v>
      </c>
      <c r="B28" t="s">
        <v>12</v>
      </c>
      <c r="C28" t="s">
        <v>16</v>
      </c>
      <c r="D28">
        <v>6528</v>
      </c>
      <c r="E28">
        <v>7730</v>
      </c>
      <c r="F28">
        <f>SummaryTable[[#This Row],[Budget]]-SummaryTable[[#This Row],[Actual]]</f>
        <v>-1202</v>
      </c>
    </row>
    <row r="29" spans="1:6" hidden="1" x14ac:dyDescent="0.25">
      <c r="A29" t="s">
        <v>6</v>
      </c>
      <c r="B29" t="s">
        <v>12</v>
      </c>
      <c r="C29" t="s">
        <v>17</v>
      </c>
      <c r="D29">
        <v>8556</v>
      </c>
      <c r="E29">
        <v>10446</v>
      </c>
      <c r="F29">
        <f>SummaryTable[[#This Row],[Budget]]-SummaryTable[[#This Row],[Actual]]</f>
        <v>-1890</v>
      </c>
    </row>
    <row r="30" spans="1:6" hidden="1" x14ac:dyDescent="0.25">
      <c r="A30" t="s">
        <v>6</v>
      </c>
      <c r="B30" t="s">
        <v>13</v>
      </c>
      <c r="C30" t="s">
        <v>14</v>
      </c>
      <c r="D30">
        <v>13838</v>
      </c>
      <c r="E30">
        <v>13906</v>
      </c>
      <c r="F30">
        <f>SummaryTable[[#This Row],[Budget]]-SummaryTable[[#This Row],[Actual]]</f>
        <v>-68</v>
      </c>
    </row>
    <row r="31" spans="1:6" hidden="1" x14ac:dyDescent="0.25">
      <c r="A31" t="s">
        <v>6</v>
      </c>
      <c r="B31" t="s">
        <v>13</v>
      </c>
      <c r="C31" t="s">
        <v>15</v>
      </c>
      <c r="D31">
        <v>16080</v>
      </c>
      <c r="E31">
        <v>16294</v>
      </c>
      <c r="F31">
        <f>SummaryTable[[#This Row],[Budget]]-SummaryTable[[#This Row],[Actual]]</f>
        <v>-214</v>
      </c>
    </row>
    <row r="32" spans="1:6" hidden="1" x14ac:dyDescent="0.25">
      <c r="A32" t="s">
        <v>6</v>
      </c>
      <c r="B32" t="s">
        <v>13</v>
      </c>
      <c r="C32" t="s">
        <v>16</v>
      </c>
      <c r="D32">
        <v>10393</v>
      </c>
      <c r="E32">
        <v>10828</v>
      </c>
      <c r="F32">
        <f>SummaryTable[[#This Row],[Budget]]-SummaryTable[[#This Row],[Actual]]</f>
        <v>-435</v>
      </c>
    </row>
    <row r="33" spans="1:6" hidden="1" x14ac:dyDescent="0.25">
      <c r="A33" t="s">
        <v>6</v>
      </c>
      <c r="B33" t="s">
        <v>13</v>
      </c>
      <c r="C33" t="s">
        <v>17</v>
      </c>
      <c r="D33">
        <v>13792</v>
      </c>
      <c r="E33">
        <v>14155</v>
      </c>
      <c r="F33">
        <f>SummaryTable[[#This Row],[Budget]]-SummaryTable[[#This Row],[Actual]]</f>
        <v>-363</v>
      </c>
    </row>
    <row r="34" spans="1:6" x14ac:dyDescent="0.25">
      <c r="A34" t="s">
        <v>7</v>
      </c>
      <c r="B34" t="s">
        <v>10</v>
      </c>
      <c r="C34" t="s">
        <v>14</v>
      </c>
      <c r="D34">
        <v>15253</v>
      </c>
      <c r="E34">
        <v>13494</v>
      </c>
      <c r="F34">
        <f>SummaryTable[[#This Row],[Budget]]-SummaryTable[[#This Row],[Actual]]</f>
        <v>1759</v>
      </c>
    </row>
    <row r="35" spans="1:6" x14ac:dyDescent="0.25">
      <c r="A35" t="s">
        <v>7</v>
      </c>
      <c r="B35" t="s">
        <v>10</v>
      </c>
      <c r="C35" t="s">
        <v>15</v>
      </c>
      <c r="D35">
        <v>15233</v>
      </c>
      <c r="E35">
        <v>16057</v>
      </c>
      <c r="F35">
        <f>SummaryTable[[#This Row],[Budget]]-SummaryTable[[#This Row],[Actual]]</f>
        <v>-824</v>
      </c>
    </row>
    <row r="36" spans="1:6" x14ac:dyDescent="0.25">
      <c r="A36" t="s">
        <v>7</v>
      </c>
      <c r="B36" t="s">
        <v>10</v>
      </c>
      <c r="C36" t="s">
        <v>16</v>
      </c>
      <c r="D36">
        <v>12513</v>
      </c>
      <c r="E36">
        <v>13125</v>
      </c>
      <c r="F36">
        <f>SummaryTable[[#This Row],[Budget]]-SummaryTable[[#This Row],[Actual]]</f>
        <v>-612</v>
      </c>
    </row>
    <row r="37" spans="1:6" x14ac:dyDescent="0.25">
      <c r="A37" t="s">
        <v>7</v>
      </c>
      <c r="B37" t="s">
        <v>10</v>
      </c>
      <c r="C37" t="s">
        <v>17</v>
      </c>
      <c r="D37">
        <v>12041</v>
      </c>
      <c r="E37">
        <v>11404</v>
      </c>
      <c r="F37">
        <f>SummaryTable[[#This Row],[Budget]]-SummaryTable[[#This Row],[Actual]]</f>
        <v>637</v>
      </c>
    </row>
    <row r="38" spans="1:6" hidden="1" x14ac:dyDescent="0.25">
      <c r="A38" t="s">
        <v>7</v>
      </c>
      <c r="B38" t="s">
        <v>11</v>
      </c>
      <c r="C38" t="s">
        <v>14</v>
      </c>
      <c r="D38">
        <v>11235</v>
      </c>
      <c r="E38">
        <v>10625</v>
      </c>
      <c r="F38">
        <f>SummaryTable[[#This Row],[Budget]]-SummaryTable[[#This Row],[Actual]]</f>
        <v>610</v>
      </c>
    </row>
    <row r="39" spans="1:6" hidden="1" x14ac:dyDescent="0.25">
      <c r="A39" t="s">
        <v>7</v>
      </c>
      <c r="B39" t="s">
        <v>11</v>
      </c>
      <c r="C39" t="s">
        <v>15</v>
      </c>
      <c r="D39">
        <v>12099</v>
      </c>
      <c r="E39">
        <v>11577</v>
      </c>
      <c r="F39">
        <f>SummaryTable[[#This Row],[Budget]]-SummaryTable[[#This Row],[Actual]]</f>
        <v>522</v>
      </c>
    </row>
    <row r="40" spans="1:6" hidden="1" x14ac:dyDescent="0.25">
      <c r="A40" t="s">
        <v>7</v>
      </c>
      <c r="B40" t="s">
        <v>11</v>
      </c>
      <c r="C40" t="s">
        <v>16</v>
      </c>
      <c r="D40">
        <v>15748</v>
      </c>
      <c r="E40">
        <v>14523</v>
      </c>
      <c r="F40">
        <f>SummaryTable[[#This Row],[Budget]]-SummaryTable[[#This Row],[Actual]]</f>
        <v>1225</v>
      </c>
    </row>
    <row r="41" spans="1:6" hidden="1" x14ac:dyDescent="0.25">
      <c r="A41" t="s">
        <v>7</v>
      </c>
      <c r="B41" t="s">
        <v>11</v>
      </c>
      <c r="C41" t="s">
        <v>17</v>
      </c>
      <c r="D41">
        <v>17206</v>
      </c>
      <c r="E41">
        <v>15240</v>
      </c>
      <c r="F41">
        <f>SummaryTable[[#This Row],[Budget]]-SummaryTable[[#This Row],[Actual]]</f>
        <v>1966</v>
      </c>
    </row>
    <row r="42" spans="1:6" hidden="1" x14ac:dyDescent="0.25">
      <c r="A42" t="s">
        <v>7</v>
      </c>
      <c r="B42" t="s">
        <v>12</v>
      </c>
      <c r="C42" t="s">
        <v>14</v>
      </c>
      <c r="D42">
        <v>19541</v>
      </c>
      <c r="E42">
        <v>20693</v>
      </c>
      <c r="F42">
        <f>SummaryTable[[#This Row],[Budget]]-SummaryTable[[#This Row],[Actual]]</f>
        <v>-1152</v>
      </c>
    </row>
    <row r="43" spans="1:6" hidden="1" x14ac:dyDescent="0.25">
      <c r="A43" t="s">
        <v>7</v>
      </c>
      <c r="B43" t="s">
        <v>12</v>
      </c>
      <c r="C43" t="s">
        <v>15</v>
      </c>
      <c r="D43">
        <v>15147</v>
      </c>
      <c r="E43">
        <v>14732</v>
      </c>
      <c r="F43">
        <f>SummaryTable[[#This Row],[Budget]]-SummaryTable[[#This Row],[Actual]]</f>
        <v>415</v>
      </c>
    </row>
    <row r="44" spans="1:6" hidden="1" x14ac:dyDescent="0.25">
      <c r="A44" t="s">
        <v>7</v>
      </c>
      <c r="B44" t="s">
        <v>12</v>
      </c>
      <c r="C44" t="s">
        <v>16</v>
      </c>
      <c r="D44">
        <v>8943</v>
      </c>
      <c r="E44">
        <v>10402</v>
      </c>
      <c r="F44">
        <f>SummaryTable[[#This Row],[Budget]]-SummaryTable[[#This Row],[Actual]]</f>
        <v>-1459</v>
      </c>
    </row>
    <row r="45" spans="1:6" hidden="1" x14ac:dyDescent="0.25">
      <c r="A45" t="s">
        <v>7</v>
      </c>
      <c r="B45" t="s">
        <v>12</v>
      </c>
      <c r="C45" t="s">
        <v>17</v>
      </c>
      <c r="D45">
        <v>8073</v>
      </c>
      <c r="E45">
        <v>7094</v>
      </c>
      <c r="F45">
        <f>SummaryTable[[#This Row],[Budget]]-SummaryTable[[#This Row],[Actual]]</f>
        <v>979</v>
      </c>
    </row>
    <row r="46" spans="1:6" hidden="1" x14ac:dyDescent="0.25">
      <c r="A46" t="s">
        <v>7</v>
      </c>
      <c r="B46" t="s">
        <v>13</v>
      </c>
      <c r="C46" t="s">
        <v>14</v>
      </c>
      <c r="D46">
        <v>16653</v>
      </c>
      <c r="E46">
        <v>17266</v>
      </c>
      <c r="F46">
        <f>SummaryTable[[#This Row],[Budget]]-SummaryTable[[#This Row],[Actual]]</f>
        <v>-613</v>
      </c>
    </row>
    <row r="47" spans="1:6" hidden="1" x14ac:dyDescent="0.25">
      <c r="A47" t="s">
        <v>7</v>
      </c>
      <c r="B47" t="s">
        <v>13</v>
      </c>
      <c r="C47" t="s">
        <v>15</v>
      </c>
      <c r="D47">
        <v>18417</v>
      </c>
      <c r="E47">
        <v>20260</v>
      </c>
      <c r="F47">
        <f>SummaryTable[[#This Row],[Budget]]-SummaryTable[[#This Row],[Actual]]</f>
        <v>-1843</v>
      </c>
    </row>
    <row r="48" spans="1:6" hidden="1" x14ac:dyDescent="0.25">
      <c r="A48" t="s">
        <v>7</v>
      </c>
      <c r="B48" t="s">
        <v>13</v>
      </c>
      <c r="C48" t="s">
        <v>16</v>
      </c>
      <c r="D48">
        <v>12989</v>
      </c>
      <c r="E48">
        <v>12489</v>
      </c>
      <c r="F48">
        <f>SummaryTable[[#This Row],[Budget]]-SummaryTable[[#This Row],[Actual]]</f>
        <v>500</v>
      </c>
    </row>
    <row r="49" spans="1:6" hidden="1" x14ac:dyDescent="0.25">
      <c r="A49" t="s">
        <v>7</v>
      </c>
      <c r="B49" t="s">
        <v>13</v>
      </c>
      <c r="C49" t="s">
        <v>17</v>
      </c>
      <c r="D49">
        <v>17990</v>
      </c>
      <c r="E49">
        <v>18439</v>
      </c>
      <c r="F49">
        <f>SummaryTable[[#This Row],[Budget]]-SummaryTable[[#This Row],[Actual]]</f>
        <v>-449</v>
      </c>
    </row>
    <row r="50" spans="1:6" x14ac:dyDescent="0.25">
      <c r="A50" t="s">
        <v>8</v>
      </c>
      <c r="B50" t="s">
        <v>10</v>
      </c>
      <c r="C50" t="s">
        <v>14</v>
      </c>
      <c r="D50">
        <v>11873</v>
      </c>
      <c r="E50">
        <v>11452</v>
      </c>
      <c r="F50">
        <f>SummaryTable[[#This Row],[Budget]]-SummaryTable[[#This Row],[Actual]]</f>
        <v>421</v>
      </c>
    </row>
    <row r="51" spans="1:6" x14ac:dyDescent="0.25">
      <c r="A51" t="s">
        <v>8</v>
      </c>
      <c r="B51" t="s">
        <v>10</v>
      </c>
      <c r="C51" t="s">
        <v>15</v>
      </c>
      <c r="D51">
        <v>5161</v>
      </c>
      <c r="E51">
        <v>3362</v>
      </c>
      <c r="F51">
        <f>SummaryTable[[#This Row],[Budget]]-SummaryTable[[#This Row],[Actual]]</f>
        <v>1799</v>
      </c>
    </row>
    <row r="52" spans="1:6" x14ac:dyDescent="0.25">
      <c r="A52" t="s">
        <v>8</v>
      </c>
      <c r="B52" t="s">
        <v>10</v>
      </c>
      <c r="C52" t="s">
        <v>16</v>
      </c>
      <c r="D52">
        <v>15173</v>
      </c>
      <c r="E52">
        <v>14168</v>
      </c>
      <c r="F52">
        <f>SummaryTable[[#This Row],[Budget]]-SummaryTable[[#This Row],[Actual]]</f>
        <v>1005</v>
      </c>
    </row>
    <row r="53" spans="1:6" x14ac:dyDescent="0.25">
      <c r="A53" t="s">
        <v>8</v>
      </c>
      <c r="B53" t="s">
        <v>10</v>
      </c>
      <c r="C53" t="s">
        <v>17</v>
      </c>
      <c r="D53">
        <v>19605</v>
      </c>
      <c r="E53">
        <v>21539</v>
      </c>
      <c r="F53">
        <f>SummaryTable[[#This Row],[Budget]]-SummaryTable[[#This Row],[Actual]]</f>
        <v>-1934</v>
      </c>
    </row>
    <row r="54" spans="1:6" hidden="1" x14ac:dyDescent="0.25">
      <c r="A54" t="s">
        <v>8</v>
      </c>
      <c r="B54" t="s">
        <v>11</v>
      </c>
      <c r="C54" t="s">
        <v>14</v>
      </c>
      <c r="D54">
        <v>18103</v>
      </c>
      <c r="E54">
        <v>19445</v>
      </c>
      <c r="F54">
        <f>SummaryTable[[#This Row],[Budget]]-SummaryTable[[#This Row],[Actual]]</f>
        <v>-1342</v>
      </c>
    </row>
    <row r="55" spans="1:6" hidden="1" x14ac:dyDescent="0.25">
      <c r="A55" t="s">
        <v>8</v>
      </c>
      <c r="B55" t="s">
        <v>11</v>
      </c>
      <c r="C55" t="s">
        <v>15</v>
      </c>
      <c r="D55">
        <v>17743</v>
      </c>
      <c r="E55">
        <v>19276</v>
      </c>
      <c r="F55">
        <f>SummaryTable[[#This Row],[Budget]]-SummaryTable[[#This Row],[Actual]]</f>
        <v>-1533</v>
      </c>
    </row>
    <row r="56" spans="1:6" hidden="1" x14ac:dyDescent="0.25">
      <c r="A56" t="s">
        <v>8</v>
      </c>
      <c r="B56" t="s">
        <v>11</v>
      </c>
      <c r="C56" t="s">
        <v>16</v>
      </c>
      <c r="D56">
        <v>16990</v>
      </c>
      <c r="E56">
        <v>16265</v>
      </c>
      <c r="F56">
        <f>SummaryTable[[#This Row],[Budget]]-SummaryTable[[#This Row],[Actual]]</f>
        <v>725</v>
      </c>
    </row>
    <row r="57" spans="1:6" hidden="1" x14ac:dyDescent="0.25">
      <c r="A57" t="s">
        <v>8</v>
      </c>
      <c r="B57" t="s">
        <v>11</v>
      </c>
      <c r="C57" t="s">
        <v>17</v>
      </c>
      <c r="D57">
        <v>6016</v>
      </c>
      <c r="E57">
        <v>7789</v>
      </c>
      <c r="F57">
        <f>SummaryTable[[#This Row],[Budget]]-SummaryTable[[#This Row],[Actual]]</f>
        <v>-1773</v>
      </c>
    </row>
    <row r="58" spans="1:6" hidden="1" x14ac:dyDescent="0.25">
      <c r="A58" t="s">
        <v>8</v>
      </c>
      <c r="B58" t="s">
        <v>12</v>
      </c>
      <c r="C58" t="s">
        <v>14</v>
      </c>
      <c r="D58">
        <v>11439</v>
      </c>
      <c r="E58">
        <v>13235</v>
      </c>
      <c r="F58">
        <f>SummaryTable[[#This Row],[Budget]]-SummaryTable[[#This Row],[Actual]]</f>
        <v>-1796</v>
      </c>
    </row>
    <row r="59" spans="1:6" hidden="1" x14ac:dyDescent="0.25">
      <c r="A59" t="s">
        <v>8</v>
      </c>
      <c r="B59" t="s">
        <v>12</v>
      </c>
      <c r="C59" t="s">
        <v>15</v>
      </c>
      <c r="D59">
        <v>11863</v>
      </c>
      <c r="E59">
        <v>13683</v>
      </c>
      <c r="F59">
        <f>SummaryTable[[#This Row],[Budget]]-SummaryTable[[#This Row],[Actual]]</f>
        <v>-1820</v>
      </c>
    </row>
    <row r="60" spans="1:6" hidden="1" x14ac:dyDescent="0.25">
      <c r="A60" t="s">
        <v>8</v>
      </c>
      <c r="B60" t="s">
        <v>12</v>
      </c>
      <c r="C60" t="s">
        <v>16</v>
      </c>
      <c r="D60">
        <v>13529</v>
      </c>
      <c r="E60">
        <v>12407</v>
      </c>
      <c r="F60">
        <f>SummaryTable[[#This Row],[Budget]]-SummaryTable[[#This Row],[Actual]]</f>
        <v>1122</v>
      </c>
    </row>
    <row r="61" spans="1:6" hidden="1" x14ac:dyDescent="0.25">
      <c r="A61" t="s">
        <v>8</v>
      </c>
      <c r="B61" t="s">
        <v>12</v>
      </c>
      <c r="C61" t="s">
        <v>17</v>
      </c>
      <c r="D61">
        <v>14268</v>
      </c>
      <c r="E61">
        <v>13059</v>
      </c>
      <c r="F61">
        <f>SummaryTable[[#This Row],[Budget]]-SummaryTable[[#This Row],[Actual]]</f>
        <v>1209</v>
      </c>
    </row>
    <row r="62" spans="1:6" hidden="1" x14ac:dyDescent="0.25">
      <c r="A62" t="s">
        <v>8</v>
      </c>
      <c r="B62" t="s">
        <v>13</v>
      </c>
      <c r="C62" t="s">
        <v>14</v>
      </c>
      <c r="D62">
        <v>17185</v>
      </c>
      <c r="E62">
        <v>17449</v>
      </c>
      <c r="F62">
        <f>SummaryTable[[#This Row],[Budget]]-SummaryTable[[#This Row],[Actual]]</f>
        <v>-264</v>
      </c>
    </row>
    <row r="63" spans="1:6" hidden="1" x14ac:dyDescent="0.25">
      <c r="A63" t="s">
        <v>8</v>
      </c>
      <c r="B63" t="s">
        <v>13</v>
      </c>
      <c r="C63" t="s">
        <v>15</v>
      </c>
      <c r="D63">
        <v>9859</v>
      </c>
      <c r="E63">
        <v>10094</v>
      </c>
      <c r="F63">
        <f>SummaryTable[[#This Row],[Budget]]-SummaryTable[[#This Row],[Actual]]</f>
        <v>-235</v>
      </c>
    </row>
    <row r="64" spans="1:6" hidden="1" x14ac:dyDescent="0.25">
      <c r="A64" t="s">
        <v>8</v>
      </c>
      <c r="B64" t="s">
        <v>13</v>
      </c>
      <c r="C64" t="s">
        <v>16</v>
      </c>
      <c r="D64">
        <v>13571</v>
      </c>
      <c r="E64">
        <v>12063</v>
      </c>
      <c r="F64">
        <f>SummaryTable[[#This Row],[Budget]]-SummaryTable[[#This Row],[Actual]]</f>
        <v>1508</v>
      </c>
    </row>
    <row r="65" spans="1:6" hidden="1" x14ac:dyDescent="0.25">
      <c r="A65" t="s">
        <v>8</v>
      </c>
      <c r="B65" t="s">
        <v>13</v>
      </c>
      <c r="C65" t="s">
        <v>17</v>
      </c>
      <c r="D65">
        <v>12208</v>
      </c>
      <c r="E65">
        <v>11388</v>
      </c>
      <c r="F65">
        <f>SummaryTable[[#This Row],[Budget]]-SummaryTable[[#This Row],[Actual]]</f>
        <v>820</v>
      </c>
    </row>
    <row r="66" spans="1:6" x14ac:dyDescent="0.25">
      <c r="A66" t="s">
        <v>9</v>
      </c>
      <c r="B66" t="s">
        <v>10</v>
      </c>
      <c r="C66" t="s">
        <v>14</v>
      </c>
      <c r="D66">
        <v>7062</v>
      </c>
      <c r="E66">
        <v>8946</v>
      </c>
      <c r="F66">
        <f>SummaryTable[[#This Row],[Budget]]-SummaryTable[[#This Row],[Actual]]</f>
        <v>-1884</v>
      </c>
    </row>
    <row r="67" spans="1:6" x14ac:dyDescent="0.25">
      <c r="A67" t="s">
        <v>9</v>
      </c>
      <c r="B67" t="s">
        <v>10</v>
      </c>
      <c r="C67" t="s">
        <v>15</v>
      </c>
      <c r="D67">
        <v>5064</v>
      </c>
      <c r="E67">
        <v>6992</v>
      </c>
      <c r="F67">
        <f>SummaryTable[[#This Row],[Budget]]-SummaryTable[[#This Row],[Actual]]</f>
        <v>-1928</v>
      </c>
    </row>
    <row r="68" spans="1:6" x14ac:dyDescent="0.25">
      <c r="A68" t="s">
        <v>9</v>
      </c>
      <c r="B68" t="s">
        <v>10</v>
      </c>
      <c r="C68" t="s">
        <v>16</v>
      </c>
      <c r="D68">
        <v>13006</v>
      </c>
      <c r="E68">
        <v>13574</v>
      </c>
      <c r="F68">
        <f>SummaryTable[[#This Row],[Budget]]-SummaryTable[[#This Row],[Actual]]</f>
        <v>-568</v>
      </c>
    </row>
    <row r="69" spans="1:6" x14ac:dyDescent="0.25">
      <c r="A69" t="s">
        <v>9</v>
      </c>
      <c r="B69" t="s">
        <v>10</v>
      </c>
      <c r="C69" t="s">
        <v>17</v>
      </c>
      <c r="D69">
        <v>10463</v>
      </c>
      <c r="E69">
        <v>9615</v>
      </c>
      <c r="F69">
        <f>SummaryTable[[#This Row],[Budget]]-SummaryTable[[#This Row],[Actual]]</f>
        <v>848</v>
      </c>
    </row>
    <row r="70" spans="1:6" hidden="1" x14ac:dyDescent="0.25">
      <c r="A70" t="s">
        <v>9</v>
      </c>
      <c r="B70" t="s">
        <v>11</v>
      </c>
      <c r="C70" t="s">
        <v>14</v>
      </c>
      <c r="D70">
        <v>7027</v>
      </c>
      <c r="E70">
        <v>7722</v>
      </c>
      <c r="F70">
        <f>SummaryTable[[#This Row],[Budget]]-SummaryTable[[#This Row],[Actual]]</f>
        <v>-695</v>
      </c>
    </row>
    <row r="71" spans="1:6" hidden="1" x14ac:dyDescent="0.25">
      <c r="A71" t="s">
        <v>9</v>
      </c>
      <c r="B71" t="s">
        <v>11</v>
      </c>
      <c r="C71" t="s">
        <v>15</v>
      </c>
      <c r="D71">
        <v>14687</v>
      </c>
      <c r="E71">
        <v>15821</v>
      </c>
      <c r="F71">
        <f>SummaryTable[[#This Row],[Budget]]-SummaryTable[[#This Row],[Actual]]</f>
        <v>-1134</v>
      </c>
    </row>
    <row r="72" spans="1:6" hidden="1" x14ac:dyDescent="0.25">
      <c r="A72" t="s">
        <v>9</v>
      </c>
      <c r="B72" t="s">
        <v>11</v>
      </c>
      <c r="C72" t="s">
        <v>16</v>
      </c>
      <c r="D72">
        <v>10258</v>
      </c>
      <c r="E72">
        <v>9780</v>
      </c>
      <c r="F72">
        <f>SummaryTable[[#This Row],[Budget]]-SummaryTable[[#This Row],[Actual]]</f>
        <v>478</v>
      </c>
    </row>
    <row r="73" spans="1:6" hidden="1" x14ac:dyDescent="0.25">
      <c r="A73" t="s">
        <v>9</v>
      </c>
      <c r="B73" t="s">
        <v>11</v>
      </c>
      <c r="C73" t="s">
        <v>17</v>
      </c>
      <c r="D73">
        <v>11736</v>
      </c>
      <c r="E73">
        <v>10127</v>
      </c>
      <c r="F73">
        <f>SummaryTable[[#This Row],[Budget]]-SummaryTable[[#This Row],[Actual]]</f>
        <v>1609</v>
      </c>
    </row>
    <row r="74" spans="1:6" hidden="1" x14ac:dyDescent="0.25">
      <c r="A74" t="s">
        <v>9</v>
      </c>
      <c r="B74" t="s">
        <v>12</v>
      </c>
      <c r="C74" t="s">
        <v>14</v>
      </c>
      <c r="D74">
        <v>18986</v>
      </c>
      <c r="E74">
        <v>17404</v>
      </c>
      <c r="F74">
        <f>SummaryTable[[#This Row],[Budget]]-SummaryTable[[#This Row],[Actual]]</f>
        <v>1582</v>
      </c>
    </row>
    <row r="75" spans="1:6" hidden="1" x14ac:dyDescent="0.25">
      <c r="A75" t="s">
        <v>9</v>
      </c>
      <c r="B75" t="s">
        <v>12</v>
      </c>
      <c r="C75" t="s">
        <v>15</v>
      </c>
      <c r="D75">
        <v>19624</v>
      </c>
      <c r="E75">
        <v>18002</v>
      </c>
      <c r="F75">
        <f>SummaryTable[[#This Row],[Budget]]-SummaryTable[[#This Row],[Actual]]</f>
        <v>1622</v>
      </c>
    </row>
    <row r="76" spans="1:6" hidden="1" x14ac:dyDescent="0.25">
      <c r="A76" t="s">
        <v>9</v>
      </c>
      <c r="B76" t="s">
        <v>12</v>
      </c>
      <c r="C76" t="s">
        <v>16</v>
      </c>
      <c r="D76">
        <v>10892</v>
      </c>
      <c r="E76">
        <v>12453</v>
      </c>
      <c r="F76">
        <f>SummaryTable[[#This Row],[Budget]]-SummaryTable[[#This Row],[Actual]]</f>
        <v>-1561</v>
      </c>
    </row>
    <row r="77" spans="1:6" hidden="1" x14ac:dyDescent="0.25">
      <c r="A77" t="s">
        <v>9</v>
      </c>
      <c r="B77" t="s">
        <v>12</v>
      </c>
      <c r="C77" t="s">
        <v>17</v>
      </c>
      <c r="D77">
        <v>15470</v>
      </c>
      <c r="E77">
        <v>16535</v>
      </c>
      <c r="F77">
        <f>SummaryTable[[#This Row],[Budget]]-SummaryTable[[#This Row],[Actual]]</f>
        <v>-1065</v>
      </c>
    </row>
    <row r="78" spans="1:6" hidden="1" x14ac:dyDescent="0.25">
      <c r="A78" t="s">
        <v>9</v>
      </c>
      <c r="B78" t="s">
        <v>13</v>
      </c>
      <c r="C78" t="s">
        <v>14</v>
      </c>
      <c r="D78">
        <v>11184</v>
      </c>
      <c r="E78">
        <v>12283</v>
      </c>
      <c r="F78">
        <f>SummaryTable[[#This Row],[Budget]]-SummaryTable[[#This Row],[Actual]]</f>
        <v>-1099</v>
      </c>
    </row>
    <row r="79" spans="1:6" hidden="1" x14ac:dyDescent="0.25">
      <c r="A79" t="s">
        <v>9</v>
      </c>
      <c r="B79" t="s">
        <v>13</v>
      </c>
      <c r="C79" t="s">
        <v>15</v>
      </c>
      <c r="D79">
        <v>11278</v>
      </c>
      <c r="E79">
        <v>9478</v>
      </c>
      <c r="F79">
        <f>SummaryTable[[#This Row],[Budget]]-SummaryTable[[#This Row],[Actual]]</f>
        <v>1800</v>
      </c>
    </row>
    <row r="80" spans="1:6" hidden="1" x14ac:dyDescent="0.25">
      <c r="A80" t="s">
        <v>9</v>
      </c>
      <c r="B80" t="s">
        <v>13</v>
      </c>
      <c r="C80" t="s">
        <v>16</v>
      </c>
      <c r="D80">
        <v>19151</v>
      </c>
      <c r="E80">
        <v>17930</v>
      </c>
      <c r="F80">
        <f>SummaryTable[[#This Row],[Budget]]-SummaryTable[[#This Row],[Actual]]</f>
        <v>1221</v>
      </c>
    </row>
    <row r="81" spans="1:6" hidden="1" x14ac:dyDescent="0.25">
      <c r="A81" t="s">
        <v>9</v>
      </c>
      <c r="B81" t="s">
        <v>13</v>
      </c>
      <c r="C81" t="s">
        <v>17</v>
      </c>
      <c r="D81">
        <v>8104</v>
      </c>
      <c r="E81">
        <v>9223</v>
      </c>
      <c r="F81">
        <f>SummaryTable[[#This Row],[Budget]]-SummaryTable[[#This Row],[Actual]]</f>
        <v>-1119</v>
      </c>
    </row>
  </sheetData>
  <conditionalFormatting sqref="F1:F1048576">
    <cfRule type="cellIs" dxfId="19" priority="1" operator="lessThan">
      <formula>0</formula>
    </cfRule>
    <cfRule type="cellIs" dxfId="18" priority="2" operator="greaterThan">
      <formula>0</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vt:lpstr>
      <vt:lpstr>raw_data</vt:lpstr>
      <vt:lpstr>Summary table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Shweta Bhanot</cp:lastModifiedBy>
  <dcterms:created xsi:type="dcterms:W3CDTF">2025-05-15T04:41:48Z</dcterms:created>
  <dcterms:modified xsi:type="dcterms:W3CDTF">2025-05-15T11:15:30Z</dcterms:modified>
</cp:coreProperties>
</file>